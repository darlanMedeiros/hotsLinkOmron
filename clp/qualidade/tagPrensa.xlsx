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v\hostLinkOmron\hotsLinkOmron\clp\qualidade\"/>
    </mc:Choice>
  </mc:AlternateContent>
  <xr:revisionPtr revIDLastSave="0" documentId="13_ncr:1_{FB58C96F-D945-4487-9AF3-E5DE81D26DEF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Prensa" sheetId="1" r:id="rId1"/>
    <sheet name="Carga" sheetId="2" r:id="rId2"/>
    <sheet name="Escolha41" sheetId="3" r:id="rId3"/>
    <sheet name="Escolha43" sheetId="4" r:id="rId4"/>
    <sheet name="SharedAddresses" sheetId="5" r:id="rId5"/>
    <sheet name="base" sheetId="6" r:id="rId6"/>
    <sheet name="Planilha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2" i="3"/>
  <c r="F77" i="2"/>
  <c r="F78" i="2"/>
  <c r="F35" i="2"/>
  <c r="F36" i="2"/>
  <c r="F37" i="2"/>
  <c r="F64" i="2"/>
  <c r="F66" i="2"/>
  <c r="F43" i="2"/>
  <c r="F42" i="2"/>
  <c r="F65" i="2"/>
  <c r="F90" i="2"/>
  <c r="F8" i="2"/>
  <c r="F74" i="2"/>
  <c r="F15" i="2"/>
  <c r="F17" i="2"/>
  <c r="F9" i="2"/>
  <c r="F75" i="2"/>
  <c r="F12" i="2"/>
  <c r="F89" i="2"/>
  <c r="F13" i="2"/>
  <c r="F87" i="2"/>
  <c r="F16" i="2"/>
  <c r="F14" i="2"/>
  <c r="F18" i="2"/>
  <c r="F88" i="2"/>
  <c r="F55" i="2"/>
  <c r="F79" i="2"/>
  <c r="F56" i="2"/>
  <c r="F80" i="2"/>
  <c r="F57" i="2"/>
  <c r="F81" i="2"/>
  <c r="F82" i="2"/>
  <c r="F83" i="2"/>
  <c r="F84" i="2"/>
  <c r="F11" i="2"/>
  <c r="F10" i="2"/>
  <c r="F67" i="2"/>
  <c r="F85" i="2"/>
  <c r="F63" i="2"/>
  <c r="F46" i="2"/>
  <c r="F33" i="2"/>
  <c r="F60" i="2"/>
  <c r="F5" i="2"/>
  <c r="F6" i="2"/>
  <c r="F4" i="2"/>
  <c r="F73" i="2"/>
  <c r="F7" i="2"/>
  <c r="F72" i="2"/>
  <c r="F32" i="2"/>
  <c r="F40" i="2"/>
  <c r="F68" i="2"/>
  <c r="F69" i="2"/>
  <c r="F70" i="2"/>
  <c r="F39" i="2"/>
  <c r="F92" i="2"/>
  <c r="F71" i="2"/>
  <c r="F2" i="2"/>
  <c r="F3" i="2"/>
  <c r="F1" i="2"/>
  <c r="F31" i="2"/>
  <c r="F59" i="2"/>
  <c r="F58" i="2"/>
  <c r="F62" i="2"/>
  <c r="F61" i="2"/>
  <c r="F41" i="2"/>
  <c r="F50" i="2"/>
  <c r="F44" i="2"/>
  <c r="F47" i="2"/>
  <c r="F45" i="2"/>
  <c r="F51" i="2"/>
  <c r="F49" i="2"/>
  <c r="F48" i="2"/>
  <c r="F91" i="2"/>
  <c r="F86" i="2"/>
  <c r="F20" i="2"/>
  <c r="F34" i="2"/>
  <c r="F19" i="2"/>
  <c r="F24" i="2"/>
  <c r="F22" i="2"/>
  <c r="F25" i="2"/>
  <c r="F23" i="2"/>
  <c r="F26" i="2"/>
  <c r="F21" i="2"/>
  <c r="F29" i="2"/>
  <c r="F27" i="2"/>
  <c r="F30" i="2"/>
  <c r="F28" i="2"/>
  <c r="F52" i="2"/>
  <c r="F53" i="2"/>
  <c r="F54" i="2"/>
  <c r="F38" i="2"/>
  <c r="F76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2" i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2" i="4"/>
</calcChain>
</file>

<file path=xl/sharedStrings.xml><?xml version="1.0" encoding="utf-8"?>
<sst xmlns="http://schemas.openxmlformats.org/spreadsheetml/2006/main" count="1874" uniqueCount="711">
  <si>
    <t>prensa29</t>
  </si>
  <si>
    <t>BOOL</t>
  </si>
  <si>
    <t>0.02</t>
  </si>
  <si>
    <t>Prensa 29</t>
  </si>
  <si>
    <t>prensa31</t>
  </si>
  <si>
    <t>0.00</t>
  </si>
  <si>
    <t>Prensa 31</t>
  </si>
  <si>
    <t>prensa30</t>
  </si>
  <si>
    <t>0.01</t>
  </si>
  <si>
    <t>Prensa 30</t>
  </si>
  <si>
    <t>ph30parada</t>
  </si>
  <si>
    <t>prensa 30 parada</t>
  </si>
  <si>
    <t>ph31parada</t>
  </si>
  <si>
    <t>prensa 31 parada</t>
  </si>
  <si>
    <t>CHANNEL</t>
  </si>
  <si>
    <t>pecaPH29</t>
  </si>
  <si>
    <t>conta peças ph29</t>
  </si>
  <si>
    <t>pecaPH30</t>
  </si>
  <si>
    <t>conta peças ph30</t>
  </si>
  <si>
    <t>pecaPH31</t>
  </si>
  <si>
    <t>conta peças ph31</t>
  </si>
  <si>
    <t>codFormPH31</t>
  </si>
  <si>
    <t>Codigo do formato ph31</t>
  </si>
  <si>
    <t>codFormPH30</t>
  </si>
  <si>
    <t>Codigo do formato ph30</t>
  </si>
  <si>
    <t>codFormPH29</t>
  </si>
  <si>
    <t>Codigo do formato ph29</t>
  </si>
  <si>
    <t>delayCicloPrensa30</t>
  </si>
  <si>
    <t>T0002</t>
  </si>
  <si>
    <t>Retardo ciclo da prensa</t>
  </si>
  <si>
    <t>delayCicloPrensa31</t>
  </si>
  <si>
    <t>T0003</t>
  </si>
  <si>
    <t>filtroCntPc30</t>
  </si>
  <si>
    <t>filtro contagem peças</t>
  </si>
  <si>
    <t>filtroCntPc29</t>
  </si>
  <si>
    <t>filtroCntPc31</t>
  </si>
  <si>
    <t>PH31paradaT1</t>
  </si>
  <si>
    <t>cnt prensa 31 parada T1</t>
  </si>
  <si>
    <t>PH31paradaT2</t>
  </si>
  <si>
    <t>D6</t>
  </si>
  <si>
    <t>cnt prensa 31 parada T2</t>
  </si>
  <si>
    <t>PH31paradaT3</t>
  </si>
  <si>
    <t>cnt prensa 31 parada T3</t>
  </si>
  <si>
    <t>PH29paradaT2</t>
  </si>
  <si>
    <t>D4</t>
  </si>
  <si>
    <t>PH29paradaT3</t>
  </si>
  <si>
    <t>PH30paradaT1</t>
  </si>
  <si>
    <t>D2</t>
  </si>
  <si>
    <t>PH30paradaT2</t>
  </si>
  <si>
    <t>PH30paradaT3</t>
  </si>
  <si>
    <t>D8</t>
  </si>
  <si>
    <t>passoFormFila41</t>
  </si>
  <si>
    <t>40.00</t>
  </si>
  <si>
    <t>passo a passo formador fila entrada roler 41</t>
  </si>
  <si>
    <t>pcRollerDesc41</t>
  </si>
  <si>
    <t>40.01</t>
  </si>
  <si>
    <t>sensor peças maquineta descarga 41</t>
  </si>
  <si>
    <t>ftcRolosForno17</t>
  </si>
  <si>
    <t>40.02</t>
  </si>
  <si>
    <t>sensor sobre rolos entrada forno</t>
  </si>
  <si>
    <t>ftcEspacoF17</t>
  </si>
  <si>
    <t>40.03</t>
  </si>
  <si>
    <t>rele espaco forno 17 (saida 3.03)</t>
  </si>
  <si>
    <t>passoFormFila42</t>
  </si>
  <si>
    <t>40.04</t>
  </si>
  <si>
    <t>passo a passo formador fila entrada roler 42</t>
  </si>
  <si>
    <t>statusRollerDesc42</t>
  </si>
  <si>
    <t>40.05</t>
  </si>
  <si>
    <t>status roller desc. 42</t>
  </si>
  <si>
    <t>bancBaixoF18</t>
  </si>
  <si>
    <t>40.06</t>
  </si>
  <si>
    <t>bancalino baixo carga forno 18</t>
  </si>
  <si>
    <t>releF18</t>
  </si>
  <si>
    <t>40.07</t>
  </si>
  <si>
    <t>rele forno 18 (saida 3.03)</t>
  </si>
  <si>
    <t>cntPlanosRollerCarga43</t>
  </si>
  <si>
    <t>40.08</t>
  </si>
  <si>
    <t>cnt de planos de carga 43</t>
  </si>
  <si>
    <t>cntPlanosRollerDescarga43</t>
  </si>
  <si>
    <t>40.09</t>
  </si>
  <si>
    <t>cnt de planos de descarga 43</t>
  </si>
  <si>
    <t>bancEntradaForno22</t>
  </si>
  <si>
    <t>40.10</t>
  </si>
  <si>
    <t>bancalino entrada forno</t>
  </si>
  <si>
    <t>releF22</t>
  </si>
  <si>
    <t>40.11</t>
  </si>
  <si>
    <t>rele forno 22</t>
  </si>
  <si>
    <t>cntPlanosCargaRoller41</t>
  </si>
  <si>
    <t>41.00</t>
  </si>
  <si>
    <t>contagem de planos da carga carro</t>
  </si>
  <si>
    <t>statusRollerDesc41</t>
  </si>
  <si>
    <t>41.01</t>
  </si>
  <si>
    <t>status roller C41</t>
  </si>
  <si>
    <t>cntPlanosCargaRoller42</t>
  </si>
  <si>
    <t>41.02</t>
  </si>
  <si>
    <t>contador de gavetas carga roller mf42</t>
  </si>
  <si>
    <t>statusRollerCarg41</t>
  </si>
  <si>
    <t>41.03</t>
  </si>
  <si>
    <t>cntPlanosRollerDescarga42</t>
  </si>
  <si>
    <t>41.04</t>
  </si>
  <si>
    <t>contador descarga gaveta roller descarga mf42</t>
  </si>
  <si>
    <t>cntPlanosDescRolle41</t>
  </si>
  <si>
    <t>41.05</t>
  </si>
  <si>
    <t>contagem de planos da descarga carro</t>
  </si>
  <si>
    <t>contPeçasCarga43</t>
  </si>
  <si>
    <t>41.08</t>
  </si>
  <si>
    <t>contagem peças roller carga 43</t>
  </si>
  <si>
    <t>statusRollerCarga43</t>
  </si>
  <si>
    <t>41.09</t>
  </si>
  <si>
    <t>status roller C43</t>
  </si>
  <si>
    <t>statusRollerDesc43</t>
  </si>
  <si>
    <t>reseRetornoPc2</t>
  </si>
  <si>
    <t>20.01</t>
  </si>
  <si>
    <t>reset retorno peças</t>
  </si>
  <si>
    <t>reseRetornoPc3</t>
  </si>
  <si>
    <t>20.02</t>
  </si>
  <si>
    <t>estoqueVazio41</t>
  </si>
  <si>
    <t>30.02</t>
  </si>
  <si>
    <t>estoque vazio</t>
  </si>
  <si>
    <t>estoqueVazio42</t>
  </si>
  <si>
    <t>30.04</t>
  </si>
  <si>
    <t>estoque zero mf42</t>
  </si>
  <si>
    <t>estoqueVazio43</t>
  </si>
  <si>
    <t>30.05</t>
  </si>
  <si>
    <t>comparador planos  vazios</t>
  </si>
  <si>
    <t>ligaCnt10</t>
  </si>
  <si>
    <t>50.00</t>
  </si>
  <si>
    <t>liga cnt10</t>
  </si>
  <si>
    <t>resetCnt10</t>
  </si>
  <si>
    <t>50.01</t>
  </si>
  <si>
    <t>reset cnt10</t>
  </si>
  <si>
    <t>ligaCnt11</t>
  </si>
  <si>
    <t>50.02</t>
  </si>
  <si>
    <t>liga cnt11</t>
  </si>
  <si>
    <t>resetCnt11</t>
  </si>
  <si>
    <t>50.03</t>
  </si>
  <si>
    <t>reset cnt11</t>
  </si>
  <si>
    <t>ligaCnt12</t>
  </si>
  <si>
    <t>50.04</t>
  </si>
  <si>
    <t>liga cnt12</t>
  </si>
  <si>
    <t>resetCnt12</t>
  </si>
  <si>
    <t>50.05</t>
  </si>
  <si>
    <t>reset cnt12</t>
  </si>
  <si>
    <t>resetInicioT1</t>
  </si>
  <si>
    <t>C0010</t>
  </si>
  <si>
    <t>reset inicio turno 1</t>
  </si>
  <si>
    <t>resetInicioT2</t>
  </si>
  <si>
    <t>C0011</t>
  </si>
  <si>
    <t>reset inicio turno 2</t>
  </si>
  <si>
    <t>resetInicioT3</t>
  </si>
  <si>
    <t>C0012</t>
  </si>
  <si>
    <t>reset inicio turno 3</t>
  </si>
  <si>
    <t>cntPlanos43</t>
  </si>
  <si>
    <t>C43</t>
  </si>
  <si>
    <t>contador de planos da 43</t>
  </si>
  <si>
    <t>pecaFilaEntForno41</t>
  </si>
  <si>
    <t>D107</t>
  </si>
  <si>
    <t>peças por fila entrada forno</t>
  </si>
  <si>
    <t>anoRelogio</t>
  </si>
  <si>
    <t>D300</t>
  </si>
  <si>
    <t>Ano Relógio</t>
  </si>
  <si>
    <t>receitaDestRolle43</t>
  </si>
  <si>
    <t>D3001</t>
  </si>
  <si>
    <t>receita de destino RC43</t>
  </si>
  <si>
    <t>AnoRelógio4dit</t>
  </si>
  <si>
    <t>D301</t>
  </si>
  <si>
    <t>Ano Relógio 4 digitos</t>
  </si>
  <si>
    <t>receitaDestF22</t>
  </si>
  <si>
    <t>D3800</t>
  </si>
  <si>
    <t>receita de destino F22</t>
  </si>
  <si>
    <t>turno1_2_3</t>
  </si>
  <si>
    <t>D500</t>
  </si>
  <si>
    <t>turno 1,2,3</t>
  </si>
  <si>
    <t>ponteiroDB22</t>
  </si>
  <si>
    <t>D518</t>
  </si>
  <si>
    <t>fornoComEspacoF17</t>
  </si>
  <si>
    <t>H10.00</t>
  </si>
  <si>
    <t>forno com espaço</t>
  </si>
  <si>
    <t>HstatusRollerDesc41</t>
  </si>
  <si>
    <t>H10.01</t>
  </si>
  <si>
    <t xml:space="preserve">status roller carga 41 </t>
  </si>
  <si>
    <t>HfornComForno18</t>
  </si>
  <si>
    <t>H10.02</t>
  </si>
  <si>
    <t>HrollerC42</t>
  </si>
  <si>
    <t>H10.03</t>
  </si>
  <si>
    <t>roller carga 42</t>
  </si>
  <si>
    <t>HfornoComEspacoF22</t>
  </si>
  <si>
    <t>H10.04</t>
  </si>
  <si>
    <t>HstatusRollerDesc42</t>
  </si>
  <si>
    <t>H10.05</t>
  </si>
  <si>
    <t>status roller descarga 42</t>
  </si>
  <si>
    <t>HrollerDesc41</t>
  </si>
  <si>
    <t>H10.06</t>
  </si>
  <si>
    <t>roller descarga 41</t>
  </si>
  <si>
    <t>HrollerCarg43</t>
  </si>
  <si>
    <t>H10.07</t>
  </si>
  <si>
    <t>roller carga 43</t>
  </si>
  <si>
    <t>H10.08</t>
  </si>
  <si>
    <t>status roller descarga 43</t>
  </si>
  <si>
    <t>corrEstoqueIHM41</t>
  </si>
  <si>
    <t>H19.15</t>
  </si>
  <si>
    <t>correção estoque IHM (mais)</t>
  </si>
  <si>
    <t>corrEstoqueIHMmenos41</t>
  </si>
  <si>
    <t>correção estoque IHM (menos)</t>
  </si>
  <si>
    <t>H20.02</t>
  </si>
  <si>
    <t>corrEstoqueIHMmais42</t>
  </si>
  <si>
    <t>H20.03</t>
  </si>
  <si>
    <t>corrEstoqueIHMmenos42</t>
  </si>
  <si>
    <t>H20.04</t>
  </si>
  <si>
    <t>corrEstoqueIHMmais43</t>
  </si>
  <si>
    <t>H20.05</t>
  </si>
  <si>
    <t>corrEstoqueIHMmenos43</t>
  </si>
  <si>
    <t>H20.06</t>
  </si>
  <si>
    <t>correcão estoque(menos)</t>
  </si>
  <si>
    <t>corrEstoqueIHMmais41</t>
  </si>
  <si>
    <t>H20.07</t>
  </si>
  <si>
    <t>correcão estoque(mais)</t>
  </si>
  <si>
    <t>corrEstoqueMenos41</t>
  </si>
  <si>
    <t>H20.08</t>
  </si>
  <si>
    <t>corrEstoqueMais42</t>
  </si>
  <si>
    <t>H20.09</t>
  </si>
  <si>
    <t>corrEstoqueMenos42</t>
  </si>
  <si>
    <t>H20.10</t>
  </si>
  <si>
    <t>corrEstoqueMais43</t>
  </si>
  <si>
    <t>H20.11</t>
  </si>
  <si>
    <t>cntBox0</t>
  </si>
  <si>
    <t>D0</t>
  </si>
  <si>
    <t>contagem box 0</t>
  </si>
  <si>
    <t>cntBox1</t>
  </si>
  <si>
    <t>contagem box 1</t>
  </si>
  <si>
    <t>cntBox2</t>
  </si>
  <si>
    <t>contagem box 2</t>
  </si>
  <si>
    <t>cntBox3</t>
  </si>
  <si>
    <t>contagem box 3</t>
  </si>
  <si>
    <t>cntBox4</t>
  </si>
  <si>
    <t>contagem box 4</t>
  </si>
  <si>
    <t>cntBox5</t>
  </si>
  <si>
    <t>D10</t>
  </si>
  <si>
    <t>contagem box 5</t>
  </si>
  <si>
    <t>cntBox6</t>
  </si>
  <si>
    <t>D12</t>
  </si>
  <si>
    <t>contagem box 6</t>
  </si>
  <si>
    <t>cntTotal</t>
  </si>
  <si>
    <t>D14</t>
  </si>
  <si>
    <t>contagem total</t>
  </si>
  <si>
    <t>cntAmostragem</t>
  </si>
  <si>
    <t>D18</t>
  </si>
  <si>
    <t>contador amostragem</t>
  </si>
  <si>
    <t>segRelogio</t>
  </si>
  <si>
    <t>D630</t>
  </si>
  <si>
    <t>Segundos Relógio</t>
  </si>
  <si>
    <t>minRelogio</t>
  </si>
  <si>
    <t>D631</t>
  </si>
  <si>
    <t>Minutos relógio</t>
  </si>
  <si>
    <t>horRelogio</t>
  </si>
  <si>
    <t>D632</t>
  </si>
  <si>
    <t>Horas relógio</t>
  </si>
  <si>
    <t>diaRelogio</t>
  </si>
  <si>
    <t>D633</t>
  </si>
  <si>
    <t>Dia relógio</t>
  </si>
  <si>
    <t>mesRelogio</t>
  </si>
  <si>
    <t>D634</t>
  </si>
  <si>
    <t>Mes Relógio</t>
  </si>
  <si>
    <t>D635</t>
  </si>
  <si>
    <t>Ano relógio</t>
  </si>
  <si>
    <t>horIHM</t>
  </si>
  <si>
    <t>D700</t>
  </si>
  <si>
    <t>hora ihm</t>
  </si>
  <si>
    <t>minIHM</t>
  </si>
  <si>
    <t>D701</t>
  </si>
  <si>
    <t xml:space="preserve">minuto ihm </t>
  </si>
  <si>
    <t>segIHM</t>
  </si>
  <si>
    <t>D702</t>
  </si>
  <si>
    <t>segundo ihm</t>
  </si>
  <si>
    <t>horEnvio</t>
  </si>
  <si>
    <t>D703</t>
  </si>
  <si>
    <t>hora de envio</t>
  </si>
  <si>
    <t>mitEnvio</t>
  </si>
  <si>
    <t>D704</t>
  </si>
  <si>
    <t>minuto envio</t>
  </si>
  <si>
    <t>segEnvio</t>
  </si>
  <si>
    <t>D705</t>
  </si>
  <si>
    <t>segundo envio</t>
  </si>
  <si>
    <t>enviaRelogio</t>
  </si>
  <si>
    <t>envia relogio</t>
  </si>
  <si>
    <t>caco</t>
  </si>
  <si>
    <t>box1</t>
  </si>
  <si>
    <t>box2</t>
  </si>
  <si>
    <t>box3</t>
  </si>
  <si>
    <t>0.03</t>
  </si>
  <si>
    <t>box4</t>
  </si>
  <si>
    <t>0.04</t>
  </si>
  <si>
    <t>box5</t>
  </si>
  <si>
    <t>0.05</t>
  </si>
  <si>
    <t>box6</t>
  </si>
  <si>
    <t>0.06</t>
  </si>
  <si>
    <t>resetCnt</t>
  </si>
  <si>
    <t>0.07</t>
  </si>
  <si>
    <t>reset contagem</t>
  </si>
  <si>
    <t>totalPc</t>
  </si>
  <si>
    <t>0.08</t>
  </si>
  <si>
    <t>total peças</t>
  </si>
  <si>
    <t>selecaoCom</t>
  </si>
  <si>
    <t>0.09</t>
  </si>
  <si>
    <t>seleção comercial</t>
  </si>
  <si>
    <t>TIM</t>
  </si>
  <si>
    <t>0.12</t>
  </si>
  <si>
    <t>resetCntH</t>
  </si>
  <si>
    <t>reset contador</t>
  </si>
  <si>
    <t>20.00</t>
  </si>
  <si>
    <t>D1</t>
  </si>
  <si>
    <t>D205</t>
  </si>
  <si>
    <t>D206</t>
  </si>
  <si>
    <t>D207</t>
  </si>
  <si>
    <t>D208</t>
  </si>
  <si>
    <t>D209</t>
  </si>
  <si>
    <t>D211</t>
  </si>
  <si>
    <t>diaMes</t>
  </si>
  <si>
    <t>D400</t>
  </si>
  <si>
    <t>D402</t>
  </si>
  <si>
    <t>D404</t>
  </si>
  <si>
    <t>D406</t>
  </si>
  <si>
    <t>D408</t>
  </si>
  <si>
    <t>D410</t>
  </si>
  <si>
    <t>D800</t>
  </si>
  <si>
    <t>D802</t>
  </si>
  <si>
    <t>D804</t>
  </si>
  <si>
    <t>D806</t>
  </si>
  <si>
    <t>D808</t>
  </si>
  <si>
    <t>mesSelecionado</t>
  </si>
  <si>
    <t>D811</t>
  </si>
  <si>
    <t>D910</t>
  </si>
  <si>
    <t>H20.00</t>
  </si>
  <si>
    <t>H30.00</t>
  </si>
  <si>
    <t>H30.01</t>
  </si>
  <si>
    <t>H30.02</t>
  </si>
  <si>
    <t>T0001</t>
  </si>
  <si>
    <t>delayCicloPrensa29</t>
  </si>
  <si>
    <t>iniciaCntTurno3</t>
  </si>
  <si>
    <t>iniio contagem turno 3</t>
  </si>
  <si>
    <t>iniciaCntTurno2</t>
  </si>
  <si>
    <t>inicia contagem turno 2</t>
  </si>
  <si>
    <t>iniciaCntTurno1</t>
  </si>
  <si>
    <t>inicia contagem turno 1</t>
  </si>
  <si>
    <t>MemAtuaReloSupervisorio</t>
  </si>
  <si>
    <t>Memória Atualiza Relogio pelo supervisório</t>
  </si>
  <si>
    <t>mesSelect</t>
  </si>
  <si>
    <t>mês selecionado</t>
  </si>
  <si>
    <t>linhaSelect</t>
  </si>
  <si>
    <t>linha selecionada</t>
  </si>
  <si>
    <t>mesCalendario</t>
  </si>
  <si>
    <t>mes calendario</t>
  </si>
  <si>
    <t>diaCalendario</t>
  </si>
  <si>
    <t>dia calendario</t>
  </si>
  <si>
    <t>segundos</t>
  </si>
  <si>
    <t>minutos</t>
  </si>
  <si>
    <t>horas</t>
  </si>
  <si>
    <t>firstDMenvioFormat</t>
  </si>
  <si>
    <t>primeiro DM envio formato</t>
  </si>
  <si>
    <t>numberCavidPH29</t>
  </si>
  <si>
    <t>Número cavidades na prensa29</t>
  </si>
  <si>
    <t>numberCavidPH30</t>
  </si>
  <si>
    <t>Número cavidades na prensa30</t>
  </si>
  <si>
    <t>numberCavidPH31</t>
  </si>
  <si>
    <t>Número cavidades na prensa31</t>
  </si>
  <si>
    <t>firstDMenvioPcPH</t>
  </si>
  <si>
    <t>pirmeiro DM de envio peças ph</t>
  </si>
  <si>
    <t>dia do mes</t>
  </si>
  <si>
    <t>relogio4dig</t>
  </si>
  <si>
    <t>Mes Relogio</t>
  </si>
  <si>
    <t>Dia Relógio</t>
  </si>
  <si>
    <t>horaRelogio</t>
  </si>
  <si>
    <t>Horas Relogio</t>
  </si>
  <si>
    <t>minutosRelogio</t>
  </si>
  <si>
    <t>Minutos Relógio</t>
  </si>
  <si>
    <t>segundosRelogio</t>
  </si>
  <si>
    <t>PH29paradaT1</t>
  </si>
  <si>
    <t>KEEP</t>
  </si>
  <si>
    <t>ph29parada</t>
  </si>
  <si>
    <t>prensa 29 parada</t>
  </si>
  <si>
    <t>reseRetornoPc1</t>
  </si>
  <si>
    <t>cntContPc</t>
  </si>
  <si>
    <t>contador peças</t>
  </si>
  <si>
    <t>HoraRelogio</t>
  </si>
  <si>
    <t>AnoRelogio4dig_</t>
  </si>
  <si>
    <t>Ano Relogio 4 Digitos</t>
  </si>
  <si>
    <t>anoRelogio_</t>
  </si>
  <si>
    <t>firstDMforno</t>
  </si>
  <si>
    <t>primeiro DM de contagem forno</t>
  </si>
  <si>
    <t>peçaPorF17</t>
  </si>
  <si>
    <t>peças por fila f17</t>
  </si>
  <si>
    <t>peçaPorF18</t>
  </si>
  <si>
    <t>peças por fila f18</t>
  </si>
  <si>
    <t>peçaPorF22</t>
  </si>
  <si>
    <t>peças por fila f22</t>
  </si>
  <si>
    <t>firstDMenvioRoller</t>
  </si>
  <si>
    <t>primeiro DM envio roller</t>
  </si>
  <si>
    <t xml:space="preserve"> </t>
  </si>
  <si>
    <t>_r_horas</t>
  </si>
  <si>
    <t>_t_minutos</t>
  </si>
  <si>
    <t>_d_segundos</t>
  </si>
  <si>
    <t>diaCalend</t>
  </si>
  <si>
    <t>mêsCalend</t>
  </si>
  <si>
    <t>mês calendario</t>
  </si>
  <si>
    <t>linhaSelecionada</t>
  </si>
  <si>
    <t>mesSelection</t>
  </si>
  <si>
    <t>statusRollDesc43</t>
  </si>
  <si>
    <t>EnviRelogioSupervisorio</t>
  </si>
  <si>
    <t>Envia relogio superviório</t>
  </si>
  <si>
    <t>corrEstoqIHMmenos41</t>
  </si>
  <si>
    <t>iniciaCntT1</t>
  </si>
  <si>
    <t>iniciaCntT2</t>
  </si>
  <si>
    <t>iniciaCntT3</t>
  </si>
  <si>
    <t>filtroSen</t>
  </si>
  <si>
    <t>filtro senso</t>
  </si>
  <si>
    <t>bit2</t>
  </si>
  <si>
    <t>d400D400</t>
  </si>
  <si>
    <t>d0 à d99</t>
  </si>
  <si>
    <t>prensa</t>
  </si>
  <si>
    <t>d100 à d199</t>
  </si>
  <si>
    <t>carga</t>
  </si>
  <si>
    <t>d200 à d299</t>
  </si>
  <si>
    <t>escolha 41</t>
  </si>
  <si>
    <t>d300 à d399</t>
  </si>
  <si>
    <t>escolha 43</t>
  </si>
  <si>
    <t>D20</t>
  </si>
  <si>
    <t>D22</t>
  </si>
  <si>
    <t>D24</t>
  </si>
  <si>
    <t>D26</t>
  </si>
  <si>
    <t>D28</t>
  </si>
  <si>
    <t>D30</t>
  </si>
  <si>
    <t>D32</t>
  </si>
  <si>
    <t>D34</t>
  </si>
  <si>
    <t>D36</t>
  </si>
  <si>
    <t>D38</t>
  </si>
  <si>
    <t>D40</t>
  </si>
  <si>
    <t>D42</t>
  </si>
  <si>
    <t>D44</t>
  </si>
  <si>
    <t>D46</t>
  </si>
  <si>
    <t>D48</t>
  </si>
  <si>
    <t>D50</t>
  </si>
  <si>
    <t>D52</t>
  </si>
  <si>
    <t>D60</t>
  </si>
  <si>
    <t>D62</t>
  </si>
  <si>
    <t>D64</t>
  </si>
  <si>
    <t>D66</t>
  </si>
  <si>
    <t>D68</t>
  </si>
  <si>
    <t>D70</t>
  </si>
  <si>
    <t>D72</t>
  </si>
  <si>
    <t>10.00</t>
  </si>
  <si>
    <t>10.01</t>
  </si>
  <si>
    <t>10.03</t>
  </si>
  <si>
    <t>T0004</t>
  </si>
  <si>
    <t>T0005</t>
  </si>
  <si>
    <t>T0006</t>
  </si>
  <si>
    <t>10.04</t>
  </si>
  <si>
    <t>D54</t>
  </si>
  <si>
    <t>D56</t>
  </si>
  <si>
    <t>D58</t>
  </si>
  <si>
    <t>ponteiroBDph31</t>
  </si>
  <si>
    <t>WORD</t>
  </si>
  <si>
    <t>D508</t>
  </si>
  <si>
    <t>ponteiro banco de dados PH31</t>
  </si>
  <si>
    <t>ponteiroBDph30</t>
  </si>
  <si>
    <t>ponteiro em BCD para armazenar a contagem</t>
  </si>
  <si>
    <t>ponteiroBDph29</t>
  </si>
  <si>
    <t>D528</t>
  </si>
  <si>
    <t>ponteiro banco de dados PH 29</t>
  </si>
  <si>
    <t>D502</t>
  </si>
  <si>
    <t>D504</t>
  </si>
  <si>
    <t>D506</t>
  </si>
  <si>
    <t>_31dias_vezes_2_ph31</t>
  </si>
  <si>
    <t>Ponteiro_Dword_ph31</t>
  </si>
  <si>
    <t>Memória_de_Armazenagem_ph31</t>
  </si>
  <si>
    <t>Memoria_contagem_BIN_ph31</t>
  </si>
  <si>
    <t>Memoria_contagem_BCD_ph31</t>
  </si>
  <si>
    <t>D510</t>
  </si>
  <si>
    <t>D512</t>
  </si>
  <si>
    <t>D514</t>
  </si>
  <si>
    <t>D516</t>
  </si>
  <si>
    <t>_31dias_vezes_2_ph29</t>
  </si>
  <si>
    <t>Ponteiro_Dword_ph29</t>
  </si>
  <si>
    <t>Memória_de_Armazenagem_ph29</t>
  </si>
  <si>
    <t>Memoria_contagem_BIN_ph29</t>
  </si>
  <si>
    <t>Memoria_contagem_BCD_ph29</t>
  </si>
  <si>
    <t>_31dias_vezes_2_ph30</t>
  </si>
  <si>
    <t>Ponteiro_Dword_ph30</t>
  </si>
  <si>
    <t>Memória_de_Armazenagem_ph30</t>
  </si>
  <si>
    <t>Memoria_contagem_BIN_ph30</t>
  </si>
  <si>
    <t>Memoria_contagem_BCD_ph30</t>
  </si>
  <si>
    <t>D520</t>
  </si>
  <si>
    <t>D522</t>
  </si>
  <si>
    <t>D524</t>
  </si>
  <si>
    <t>D526</t>
  </si>
  <si>
    <t>D530</t>
  </si>
  <si>
    <t>D532</t>
  </si>
  <si>
    <t>D534</t>
  </si>
  <si>
    <t>D536</t>
  </si>
  <si>
    <t>F_31dias_vezes_2_ph30</t>
  </si>
  <si>
    <t>F_31dias_vezes_2_ph31</t>
  </si>
  <si>
    <t>F_Ponteiro_Dword_ph31</t>
  </si>
  <si>
    <t>F_Memória_de_Armazenagem_ph31</t>
  </si>
  <si>
    <t>F_Memoria_contagem_BCD_ph31</t>
  </si>
  <si>
    <t>D538</t>
  </si>
  <si>
    <t>D540</t>
  </si>
  <si>
    <t>D542</t>
  </si>
  <si>
    <t>D544</t>
  </si>
  <si>
    <t>F_Ponteiro_Dword_ph30</t>
  </si>
  <si>
    <t>F_Memória_de_Armazenagem_ph30</t>
  </si>
  <si>
    <t>F_Memoria_contagem_BCD_ph30</t>
  </si>
  <si>
    <t>D546</t>
  </si>
  <si>
    <t>D548</t>
  </si>
  <si>
    <t>D550</t>
  </si>
  <si>
    <t>D552</t>
  </si>
  <si>
    <t>0.10</t>
  </si>
  <si>
    <t>0.11</t>
  </si>
  <si>
    <t>1.00</t>
  </si>
  <si>
    <t>1.01</t>
  </si>
  <si>
    <t>1.02</t>
  </si>
  <si>
    <t>1.03</t>
  </si>
  <si>
    <t>1.04</t>
  </si>
  <si>
    <t>1.05</t>
  </si>
  <si>
    <t>1.08</t>
  </si>
  <si>
    <t>1.09</t>
  </si>
  <si>
    <t>1.11</t>
  </si>
  <si>
    <t>status roller D43</t>
  </si>
  <si>
    <t>D210</t>
  </si>
  <si>
    <t>Ano Relogio</t>
  </si>
  <si>
    <t>D810</t>
  </si>
  <si>
    <t>H20.01</t>
  </si>
  <si>
    <t>ORIGINAL</t>
  </si>
  <si>
    <t>MODIFICADO</t>
  </si>
  <si>
    <t>21.00</t>
  </si>
  <si>
    <t>22.00</t>
  </si>
  <si>
    <t>D100</t>
  </si>
  <si>
    <t>D102</t>
  </si>
  <si>
    <t>D104</t>
  </si>
  <si>
    <t>D405</t>
  </si>
  <si>
    <t>D407</t>
  </si>
  <si>
    <t>D409</t>
  </si>
  <si>
    <t>T0020</t>
  </si>
  <si>
    <t>T0021</t>
  </si>
  <si>
    <t>T0023</t>
  </si>
  <si>
    <t>30.00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</si>
  <si>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</si>
  <si>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</si>
  <si>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</si>
  <si>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</si>
  <si>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</si>
  <si>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</si>
  <si>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</si>
  <si>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</si>
  <si>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</si>
  <si>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</si>
  <si>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T0010</t>
  </si>
  <si>
    <t>H19.00</t>
  </si>
  <si>
    <t>H19.01</t>
  </si>
  <si>
    <t>H19.02</t>
  </si>
  <si>
    <t>D160</t>
  </si>
  <si>
    <t>H19.03</t>
  </si>
  <si>
    <t>H19.04</t>
  </si>
  <si>
    <t>H19.05</t>
  </si>
  <si>
    <t>H19.06</t>
  </si>
  <si>
    <t>H19.07</t>
  </si>
  <si>
    <t>H19.08</t>
  </si>
  <si>
    <t>H19.09</t>
  </si>
  <si>
    <t>H19.10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</si>
  <si>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</si>
  <si>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</si>
  <si>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</si>
  <si>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</si>
  <si>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</si>
  <si>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</si>
  <si>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</si>
  <si>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</si>
  <si>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</si>
  <si>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</si>
  <si>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</si>
  <si>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H19.11</t>
  </si>
  <si>
    <t>H19.12</t>
  </si>
  <si>
    <t>D172</t>
  </si>
  <si>
    <t>D302</t>
  </si>
  <si>
    <t>D304</t>
  </si>
  <si>
    <t>D306</t>
  </si>
  <si>
    <t>D308</t>
  </si>
  <si>
    <t>D310</t>
  </si>
  <si>
    <t>D312</t>
  </si>
  <si>
    <t>D314</t>
  </si>
  <si>
    <t>D316</t>
  </si>
  <si>
    <t>D318</t>
  </si>
  <si>
    <t>D320</t>
  </si>
  <si>
    <t>D322</t>
  </si>
  <si>
    <t>D324</t>
  </si>
  <si>
    <t>D326</t>
  </si>
  <si>
    <t>D328</t>
  </si>
  <si>
    <t>D330</t>
  </si>
  <si>
    <t>D332</t>
  </si>
  <si>
    <t>D334</t>
  </si>
  <si>
    <t>D336</t>
  </si>
  <si>
    <t>D338</t>
  </si>
  <si>
    <t>D340</t>
  </si>
  <si>
    <t>H12.00</t>
  </si>
  <si>
    <t>4.00</t>
  </si>
  <si>
    <t>4.01</t>
  </si>
  <si>
    <t>4.02</t>
  </si>
  <si>
    <t>4.03</t>
  </si>
  <si>
    <t>4.04</t>
  </si>
  <si>
    <t>4.05</t>
  </si>
  <si>
    <t>4.06</t>
  </si>
  <si>
    <t>4.07</t>
  </si>
  <si>
    <t>4.08</t>
  </si>
  <si>
    <t>4.09</t>
  </si>
  <si>
    <t>4.12</t>
  </si>
  <si>
    <t>5.00</t>
  </si>
  <si>
    <t>5.04</t>
  </si>
  <si>
    <t>5.01</t>
  </si>
  <si>
    <t>5.02</t>
  </si>
  <si>
    <t>5.03</t>
  </si>
  <si>
    <t>5.05</t>
  </si>
  <si>
    <t>5.06</t>
  </si>
  <si>
    <t>5.07</t>
  </si>
  <si>
    <t>5.08</t>
  </si>
  <si>
    <t>5.09</t>
  </si>
  <si>
    <t>5.12</t>
  </si>
  <si>
    <t>D412</t>
  </si>
  <si>
    <t>D414</t>
  </si>
  <si>
    <t>D416</t>
  </si>
  <si>
    <t>D418</t>
  </si>
  <si>
    <t>D420</t>
  </si>
  <si>
    <t>D422</t>
  </si>
  <si>
    <t>D424</t>
  </si>
  <si>
    <t>D426</t>
  </si>
  <si>
    <t>D428</t>
  </si>
  <si>
    <t>D430</t>
  </si>
  <si>
    <t>D432</t>
  </si>
  <si>
    <t>D434</t>
  </si>
  <si>
    <t>D436</t>
  </si>
  <si>
    <t>D438</t>
  </si>
  <si>
    <t>D440</t>
  </si>
  <si>
    <t>H13.00</t>
  </si>
  <si>
    <t>H13.01</t>
  </si>
  <si>
    <t>D173</t>
  </si>
  <si>
    <t>D174</t>
  </si>
  <si>
    <t>D175</t>
  </si>
  <si>
    <t>D5</t>
  </si>
  <si>
    <t>D3</t>
  </si>
  <si>
    <t>D9</t>
  </si>
  <si>
    <t>D7</t>
  </si>
  <si>
    <t>PH 29</t>
  </si>
  <si>
    <t>BATIDAS</t>
  </si>
  <si>
    <t>T1</t>
  </si>
  <si>
    <t>PH 30</t>
  </si>
  <si>
    <t>PH 31</t>
  </si>
  <si>
    <t>SEC 25</t>
  </si>
  <si>
    <t>SEC 26</t>
  </si>
  <si>
    <t>SEC 33</t>
  </si>
  <si>
    <t>D303</t>
  </si>
  <si>
    <t>D305</t>
  </si>
  <si>
    <t>D307</t>
  </si>
  <si>
    <t>D309</t>
  </si>
  <si>
    <t>D311</t>
  </si>
  <si>
    <t>D313</t>
  </si>
  <si>
    <t>TIME</t>
  </si>
  <si>
    <t>D</t>
  </si>
  <si>
    <t>Conteúdo</t>
  </si>
  <si>
    <t>Ano (2026)</t>
  </si>
  <si>
    <t>Mês (03)</t>
  </si>
  <si>
    <t>Dia (19)</t>
  </si>
  <si>
    <t>Hora</t>
  </si>
  <si>
    <t>Minuto</t>
  </si>
  <si>
    <t>Segundo</t>
  </si>
  <si>
    <t>PONTEIRO INICIO</t>
  </si>
  <si>
    <t>D298</t>
  </si>
  <si>
    <t>DATA</t>
  </si>
  <si>
    <t>TURNO</t>
  </si>
  <si>
    <t>PRODUÇÃO</t>
  </si>
  <si>
    <t>PONTEIRO</t>
  </si>
  <si>
    <t>PRODUCAO</t>
  </si>
  <si>
    <t>D301 ...D306</t>
  </si>
  <si>
    <t>D308 ... D313</t>
  </si>
  <si>
    <t>ano bd</t>
  </si>
  <si>
    <t>mes bd</t>
  </si>
  <si>
    <t>dia bd</t>
  </si>
  <si>
    <t>hora bd</t>
  </si>
  <si>
    <t>minuto bd</t>
  </si>
  <si>
    <t>ano 2 dig</t>
  </si>
  <si>
    <t>seg bd</t>
  </si>
  <si>
    <t>A352</t>
  </si>
  <si>
    <t>hora e dia clp</t>
  </si>
  <si>
    <t>ano_bd</t>
  </si>
  <si>
    <t>mes_bd</t>
  </si>
  <si>
    <t>dia_bd</t>
  </si>
  <si>
    <t>hora_bd</t>
  </si>
  <si>
    <t>min_bd</t>
  </si>
  <si>
    <t>seg_bd</t>
  </si>
  <si>
    <t>ano_2dig</t>
  </si>
  <si>
    <t>HORA_DIA_CLP</t>
  </si>
  <si>
    <t>A353</t>
  </si>
  <si>
    <t>mes e ano clp</t>
  </si>
  <si>
    <t>MES_ANO_CLP</t>
  </si>
  <si>
    <t>MIN_SEG_CLP</t>
  </si>
  <si>
    <t>A351</t>
  </si>
  <si>
    <t>minuto e segundo clp</t>
  </si>
  <si>
    <t>D3002</t>
  </si>
  <si>
    <t>D3003</t>
  </si>
  <si>
    <t>D3004</t>
  </si>
  <si>
    <t>D3005</t>
  </si>
  <si>
    <t>D3006</t>
  </si>
  <si>
    <t>D3001...D3006</t>
  </si>
  <si>
    <t>D3007</t>
  </si>
  <si>
    <t>D3008...D3007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</si>
</sst>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color rgb="FFFFFF00"/>
      </font>
      <fill>
        <patternFill>
          <fgColor rgb="FFFFFF00"/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00"/>
      </font>
      <fill>
        <patternFill>
          <fgColor rgb="FFFFFF00"/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00"/>
      </font>
      <fill>
        <patternFill>
          <fgColor rgb="FFFFFF00"/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00"/>
      </font>
      <fill>
        <patternFill>
          <fgColor rgb="FFFFFF00"/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FF00"/>
      </font>
      <fill>
        <patternFill>
          <fgColor rgb="FFFFFF00"/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opLeftCell="E1" workbookViewId="0">
      <selection activeCell="K4" sqref="K4"/>
    </sheetView>
  </sheetViews>
  <sheetFormatPr defaultRowHeight="15" x14ac:dyDescent="0.25"/>
  <cols>
    <col min="1" max="1" width="34.140625" bestFit="1" customWidth="1"/>
    <col min="4" max="4" width="41.5703125" bestFit="1" customWidth="1"/>
    <col min="6" max="6" width="28" customWidth="1"/>
    <col min="8" max="8" width="47.7109375" customWidth="1"/>
    <col min="9" max="9" width="9.42578125" bestFit="1" customWidth="1"/>
    <col min="11" max="11" width="40.5703125" bestFit="1" customWidth="1"/>
  </cols>
  <sheetData>
    <row r="1" spans="1:12" x14ac:dyDescent="0.25">
      <c r="A1" s="6" t="s">
        <v>531</v>
      </c>
      <c r="B1" s="6"/>
      <c r="C1" s="6"/>
      <c r="D1" s="6"/>
      <c r="E1" s="6"/>
      <c r="H1" s="6" t="s">
        <v>530</v>
      </c>
      <c r="I1" s="6"/>
      <c r="J1" s="6"/>
      <c r="K1" s="6"/>
      <c r="L1" s="6"/>
    </row>
    <row r="2" spans="1:12" x14ac:dyDescent="0.25">
      <c r="A2" t="s">
        <v>4</v>
      </c>
      <c r="B2" t="s">
        <v>1</v>
      </c>
      <c r="C2" t="s">
        <v>5</v>
      </c>
      <c r="D2" t="s">
        <v>6</v>
      </c>
      <c r="E2">
        <v>0</v>
      </c>
      <c r="F2" t="str">
        <f>IF(C2="","",IF(OR(COUNTIF($C:$C,C2)&gt;1,COUNTIF(Prensa!C:C,C2)+COUNTIF(Carga!C:C,C2)+COUNTIF(Escolha41!C:C,C2)+COUNTIF(Escolha43!C:C,C2)-COUNTIF($C:$C,C2)&gt;0),"CONFLITO","OK"))</f>
        <v>OK</v>
      </c>
      <c r="H2" t="s">
        <v>158</v>
      </c>
      <c r="I2" t="s">
        <v>14</v>
      </c>
      <c r="J2" t="s">
        <v>526</v>
      </c>
      <c r="K2" t="s">
        <v>160</v>
      </c>
      <c r="L2">
        <v>0</v>
      </c>
    </row>
    <row r="3" spans="1:12" x14ac:dyDescent="0.25">
      <c r="A3" t="s">
        <v>7</v>
      </c>
      <c r="B3" t="s">
        <v>1</v>
      </c>
      <c r="C3" t="s">
        <v>8</v>
      </c>
      <c r="D3" t="s">
        <v>9</v>
      </c>
      <c r="E3">
        <v>0</v>
      </c>
      <c r="F3" t="str">
        <f>IF(C3="","",IF(OR(COUNTIF($C:$C,C3)&gt;1,COUNTIF(Prensa!C:C,C3)+COUNTIF(Carga!C:C,C3)+COUNTIF(Escolha41!C:C,C3)+COUNTIF(Escolha43!C:C,C3)-COUNTIF($C:$C,C3)&gt;0),"CONFLITO","OK"))</f>
        <v>OK</v>
      </c>
      <c r="H3" t="s">
        <v>368</v>
      </c>
      <c r="I3" t="s">
        <v>14</v>
      </c>
      <c r="J3" t="s">
        <v>316</v>
      </c>
      <c r="K3" t="s">
        <v>166</v>
      </c>
      <c r="L3">
        <v>0</v>
      </c>
    </row>
    <row r="4" spans="1:12" x14ac:dyDescent="0.25">
      <c r="A4" t="s">
        <v>0</v>
      </c>
      <c r="B4" t="s">
        <v>1</v>
      </c>
      <c r="C4" t="s">
        <v>2</v>
      </c>
      <c r="D4" t="s">
        <v>3</v>
      </c>
      <c r="E4">
        <v>0</v>
      </c>
      <c r="F4" t="str">
        <f>IF(C4="","",IF(OR(COUNTIF($C:$C,C4)&gt;1,COUNTIF(Prensa!C:C,C4)+COUNTIF(Carga!C:C,C4)+COUNTIF(Escolha41!C:C,C4)+COUNTIF(Escolha43!C:C,C4)-COUNTIF($C:$C,C4)&gt;0),"CONFLITO","OK"))</f>
        <v>OK</v>
      </c>
      <c r="H4" t="s">
        <v>376</v>
      </c>
      <c r="I4" s="1" t="s">
        <v>14</v>
      </c>
      <c r="J4" s="1" t="s">
        <v>310</v>
      </c>
      <c r="K4" s="1" t="s">
        <v>37</v>
      </c>
      <c r="L4" s="1">
        <v>0</v>
      </c>
    </row>
    <row r="5" spans="1:12" x14ac:dyDescent="0.25">
      <c r="A5" t="s">
        <v>378</v>
      </c>
      <c r="B5" t="s">
        <v>1</v>
      </c>
      <c r="C5" t="s">
        <v>449</v>
      </c>
      <c r="D5" t="s">
        <v>379</v>
      </c>
      <c r="E5">
        <v>0</v>
      </c>
      <c r="F5" t="str">
        <f>IF(C5="","",IF(OR(COUNTIF($C:$C,C5)&gt;1,COUNTIF(Prensa!C:C,C5)+COUNTIF(Carga!C:C,C5)+COUNTIF(Escolha41!C:C,C5)+COUNTIF(Escolha43!C:C,C5)-COUNTIF($C:$C,C5)&gt;0),"CONFLITO","OK"))</f>
        <v>OK</v>
      </c>
      <c r="H5" t="s">
        <v>46</v>
      </c>
      <c r="I5" s="1" t="s">
        <v>14</v>
      </c>
      <c r="J5" s="1" t="s">
        <v>47</v>
      </c>
      <c r="K5" s="1" t="s">
        <v>37</v>
      </c>
      <c r="L5" s="1">
        <v>0</v>
      </c>
    </row>
    <row r="6" spans="1:12" x14ac:dyDescent="0.25">
      <c r="A6" t="s">
        <v>10</v>
      </c>
      <c r="B6" t="s">
        <v>1</v>
      </c>
      <c r="C6" t="s">
        <v>450</v>
      </c>
      <c r="D6" t="s">
        <v>11</v>
      </c>
      <c r="E6">
        <v>0</v>
      </c>
      <c r="F6" t="str">
        <f>IF(C6="","",IF(OR(COUNTIF($C:$C,C6)&gt;1,COUNTIF(Prensa!C:C,C6)+COUNTIF(Carga!C:C,C6)+COUNTIF(Escolha41!C:C,C6)+COUNTIF(Escolha43!C:C,C6)-COUNTIF($C:$C,C6)&gt;0),"CONFLITO","OK"))</f>
        <v>OK</v>
      </c>
      <c r="H6" t="s">
        <v>36</v>
      </c>
      <c r="I6" s="1" t="s">
        <v>14</v>
      </c>
      <c r="J6" s="1" t="s">
        <v>645</v>
      </c>
      <c r="K6" s="1" t="s">
        <v>37</v>
      </c>
      <c r="L6" s="1">
        <v>0</v>
      </c>
    </row>
    <row r="7" spans="1:12" x14ac:dyDescent="0.25">
      <c r="A7" t="s">
        <v>12</v>
      </c>
      <c r="B7" t="s">
        <v>1</v>
      </c>
      <c r="C7" t="s">
        <v>451</v>
      </c>
      <c r="D7" t="s">
        <v>13</v>
      </c>
      <c r="E7">
        <v>0</v>
      </c>
      <c r="F7" t="str">
        <f>IF(C7="","",IF(OR(COUNTIF($C:$C,C7)&gt;1,COUNTIF(Prensa!C:C,C7)+COUNTIF(Carga!C:C,C7)+COUNTIF(Escolha41!C:C,C7)+COUNTIF(Escolha43!C:C,C7)-COUNTIF($C:$C,C7)&gt;0),"CONFLITO","OK"))</f>
        <v>OK</v>
      </c>
      <c r="H7" t="s">
        <v>43</v>
      </c>
      <c r="I7" s="1" t="s">
        <v>14</v>
      </c>
      <c r="J7" s="1" t="s">
        <v>44</v>
      </c>
      <c r="K7" s="1" t="s">
        <v>40</v>
      </c>
      <c r="L7" s="1">
        <v>0</v>
      </c>
    </row>
    <row r="8" spans="1:12" x14ac:dyDescent="0.25">
      <c r="A8" t="s">
        <v>377</v>
      </c>
      <c r="B8" t="s">
        <v>1</v>
      </c>
      <c r="C8" t="s">
        <v>455</v>
      </c>
      <c r="E8">
        <v>0</v>
      </c>
      <c r="F8" t="str">
        <f>IF(C8="","",IF(OR(COUNTIF($C:$C,C8)&gt;1,COUNTIF(Prensa!C:C,C8)+COUNTIF(Carga!C:C,C8)+COUNTIF(Escolha41!C:C,C8)+COUNTIF(Escolha43!C:C,C8)-COUNTIF($C:$C,C8)&gt;0),"CONFLITO","OK"))</f>
        <v>OK</v>
      </c>
      <c r="H8" t="s">
        <v>48</v>
      </c>
      <c r="I8" s="1" t="s">
        <v>14</v>
      </c>
      <c r="J8" s="1" t="s">
        <v>644</v>
      </c>
      <c r="K8" s="1" t="s">
        <v>40</v>
      </c>
      <c r="L8" s="1">
        <v>0</v>
      </c>
    </row>
    <row r="9" spans="1:12" x14ac:dyDescent="0.25">
      <c r="A9" t="s">
        <v>376</v>
      </c>
      <c r="B9" t="s">
        <v>14</v>
      </c>
      <c r="C9" t="s">
        <v>226</v>
      </c>
      <c r="D9" t="s">
        <v>37</v>
      </c>
      <c r="E9">
        <v>0</v>
      </c>
      <c r="F9" t="str">
        <f>IF(C9="","",IF(OR(COUNTIF($C:$C,C9)&gt;1,COUNTIF(Prensa!C:C,C9)+COUNTIF(Carga!C:C,C9)+COUNTIF(Escolha41!C:C,C9)+COUNTIF(Escolha43!C:C,C9)-COUNTIF($C:$C,C9)&gt;0),"CONFLITO","OK"))</f>
        <v>OK</v>
      </c>
      <c r="H9" t="s">
        <v>38</v>
      </c>
      <c r="I9" s="1" t="s">
        <v>14</v>
      </c>
      <c r="J9" s="1" t="s">
        <v>39</v>
      </c>
      <c r="K9" s="1" t="s">
        <v>40</v>
      </c>
      <c r="L9" s="1">
        <v>0</v>
      </c>
    </row>
    <row r="10" spans="1:12" x14ac:dyDescent="0.25">
      <c r="A10" t="s">
        <v>38</v>
      </c>
      <c r="B10" t="s">
        <v>14</v>
      </c>
      <c r="C10" t="s">
        <v>237</v>
      </c>
      <c r="D10" t="s">
        <v>40</v>
      </c>
      <c r="E10">
        <v>0</v>
      </c>
      <c r="F10" t="str">
        <f>IF(C10="","",IF(OR(COUNTIF($C:$C,C10)&gt;1,COUNTIF(Prensa!C:C,C10)+COUNTIF(Carga!C:C,C10)+COUNTIF(Escolha41!C:C,C10)+COUNTIF(Escolha43!C:C,C10)-COUNTIF($C:$C,C10)&gt;0),"CONFLITO","OK"))</f>
        <v>OK</v>
      </c>
      <c r="H10" t="s">
        <v>45</v>
      </c>
      <c r="I10" s="1" t="s">
        <v>14</v>
      </c>
      <c r="J10" s="1" t="s">
        <v>647</v>
      </c>
      <c r="K10" s="1" t="s">
        <v>42</v>
      </c>
      <c r="L10" s="1">
        <v>0</v>
      </c>
    </row>
    <row r="11" spans="1:12" x14ac:dyDescent="0.25">
      <c r="A11" t="s">
        <v>45</v>
      </c>
      <c r="B11" t="s">
        <v>14</v>
      </c>
      <c r="C11" t="s">
        <v>240</v>
      </c>
      <c r="D11" t="s">
        <v>42</v>
      </c>
      <c r="E11">
        <v>0</v>
      </c>
      <c r="F11" t="str">
        <f>IF(C11="","",IF(OR(COUNTIF($C:$C,C11)&gt;1,COUNTIF(Prensa!C:C,C11)+COUNTIF(Carga!C:C,C11)+COUNTIF(Escolha41!C:C,C11)+COUNTIF(Escolha43!C:C,C11)-COUNTIF($C:$C,C11)&gt;0),"CONFLITO","OK"))</f>
        <v>OK</v>
      </c>
      <c r="H11" t="s">
        <v>49</v>
      </c>
      <c r="I11" s="1" t="s">
        <v>14</v>
      </c>
      <c r="J11" s="1" t="s">
        <v>50</v>
      </c>
      <c r="K11" s="1" t="s">
        <v>42</v>
      </c>
      <c r="L11" s="1">
        <v>0</v>
      </c>
    </row>
    <row r="12" spans="1:12" x14ac:dyDescent="0.25">
      <c r="A12" t="s">
        <v>49</v>
      </c>
      <c r="B12" t="s">
        <v>14</v>
      </c>
      <c r="C12" t="s">
        <v>243</v>
      </c>
      <c r="D12" t="s">
        <v>42</v>
      </c>
      <c r="E12">
        <v>0</v>
      </c>
      <c r="F12" t="str">
        <f>IF(C12="","",IF(OR(COUNTIF($C:$C,C12)&gt;1,COUNTIF(Prensa!C:C,C12)+COUNTIF(Carga!C:C,C12)+COUNTIF(Escolha41!C:C,C12)+COUNTIF(Escolha43!C:C,C12)-COUNTIF($C:$C,C12)&gt;0),"CONFLITO","OK"))</f>
        <v>OK</v>
      </c>
      <c r="H12" t="s">
        <v>41</v>
      </c>
      <c r="I12" s="1" t="s">
        <v>14</v>
      </c>
      <c r="J12" s="1" t="s">
        <v>646</v>
      </c>
      <c r="K12" s="1" t="s">
        <v>42</v>
      </c>
      <c r="L12" s="1">
        <v>0</v>
      </c>
    </row>
    <row r="13" spans="1:12" x14ac:dyDescent="0.25">
      <c r="A13" t="s">
        <v>41</v>
      </c>
      <c r="B13" t="s">
        <v>14</v>
      </c>
      <c r="C13" t="s">
        <v>246</v>
      </c>
      <c r="D13" t="s">
        <v>42</v>
      </c>
      <c r="E13">
        <v>0</v>
      </c>
      <c r="F13" t="str">
        <f>IF(C13="","",IF(OR(COUNTIF($C:$C,C13)&gt;1,COUNTIF(Prensa!C:C,C13)+COUNTIF(Carga!C:C,C13)+COUNTIF(Escolha41!C:C,C13)+COUNTIF(Escolha43!C:C,C13)-COUNTIF($C:$C,C13)&gt;0),"CONFLITO","OK"))</f>
        <v>OK</v>
      </c>
      <c r="H13" t="s">
        <v>25</v>
      </c>
      <c r="I13" t="s">
        <v>14</v>
      </c>
      <c r="J13" t="s">
        <v>539</v>
      </c>
      <c r="K13" t="s">
        <v>26</v>
      </c>
      <c r="L13">
        <v>0</v>
      </c>
    </row>
    <row r="14" spans="1:12" x14ac:dyDescent="0.25">
      <c r="A14" t="s">
        <v>46</v>
      </c>
      <c r="B14" t="s">
        <v>14</v>
      </c>
      <c r="C14" t="s">
        <v>47</v>
      </c>
      <c r="D14" t="s">
        <v>37</v>
      </c>
      <c r="E14">
        <v>0</v>
      </c>
      <c r="F14" t="str">
        <f>IF(C14="","",IF(OR(COUNTIF($C:$C,C14)&gt;1,COUNTIF(Prensa!C:C,C14)+COUNTIF(Carga!C:C,C14)+COUNTIF(Escolha41!C:C,C14)+COUNTIF(Escolha43!C:C,C14)-COUNTIF($C:$C,C14)&gt;0),"CONFLITO","OK"))</f>
        <v>OK</v>
      </c>
      <c r="H14" t="s">
        <v>23</v>
      </c>
      <c r="I14" t="s">
        <v>14</v>
      </c>
      <c r="J14" t="s">
        <v>538</v>
      </c>
      <c r="K14" t="s">
        <v>24</v>
      </c>
      <c r="L14">
        <v>0</v>
      </c>
    </row>
    <row r="15" spans="1:12" x14ac:dyDescent="0.25">
      <c r="A15" t="s">
        <v>15</v>
      </c>
      <c r="B15" t="s">
        <v>14</v>
      </c>
      <c r="C15" t="s">
        <v>425</v>
      </c>
      <c r="D15" t="s">
        <v>16</v>
      </c>
      <c r="E15">
        <v>0</v>
      </c>
      <c r="F15" t="str">
        <f>IF(C15="","",IF(OR(COUNTIF($C:$C,C15)&gt;1,COUNTIF(Prensa!C:C,C15)+COUNTIF(Carga!C:C,C15)+COUNTIF(Escolha41!C:C,C15)+COUNTIF(Escolha43!C:C,C15)-COUNTIF($C:$C,C15)&gt;0),"CONFLITO","OK"))</f>
        <v>OK</v>
      </c>
      <c r="H15" t="s">
        <v>21</v>
      </c>
      <c r="I15" t="s">
        <v>14</v>
      </c>
      <c r="J15" t="s">
        <v>537</v>
      </c>
      <c r="K15" t="s">
        <v>22</v>
      </c>
      <c r="L15">
        <v>0</v>
      </c>
    </row>
    <row r="16" spans="1:12" x14ac:dyDescent="0.25">
      <c r="A16" t="s">
        <v>17</v>
      </c>
      <c r="B16" t="s">
        <v>14</v>
      </c>
      <c r="C16" t="s">
        <v>426</v>
      </c>
      <c r="D16" t="s">
        <v>18</v>
      </c>
      <c r="E16">
        <v>0</v>
      </c>
      <c r="F16" t="str">
        <f>IF(C16="","",IF(OR(COUNTIF($C:$C,C16)&gt;1,COUNTIF(Prensa!C:C,C16)+COUNTIF(Carga!C:C,C16)+COUNTIF(Escolha41!C:C,C16)+COUNTIF(Escolha43!C:C,C16)-COUNTIF($C:$C,C16)&gt;0),"CONFLITO","OK"))</f>
        <v>OK</v>
      </c>
      <c r="H16" t="s">
        <v>15</v>
      </c>
      <c r="I16" t="s">
        <v>14</v>
      </c>
      <c r="J16" t="s">
        <v>534</v>
      </c>
      <c r="K16" t="s">
        <v>16</v>
      </c>
      <c r="L16">
        <v>0</v>
      </c>
    </row>
    <row r="17" spans="1:12" x14ac:dyDescent="0.25">
      <c r="A17" t="s">
        <v>19</v>
      </c>
      <c r="B17" t="s">
        <v>14</v>
      </c>
      <c r="C17" t="s">
        <v>427</v>
      </c>
      <c r="D17" t="s">
        <v>20</v>
      </c>
      <c r="E17">
        <v>0</v>
      </c>
      <c r="F17" t="str">
        <f>IF(C17="","",IF(OR(COUNTIF($C:$C,C17)&gt;1,COUNTIF(Prensa!C:C,C17)+COUNTIF(Carga!C:C,C17)+COUNTIF(Escolha41!C:C,C17)+COUNTIF(Escolha43!C:C,C17)-COUNTIF($C:$C,C17)&gt;0),"CONFLITO","OK"))</f>
        <v>OK</v>
      </c>
      <c r="H17" t="s">
        <v>17</v>
      </c>
      <c r="I17" t="s">
        <v>14</v>
      </c>
      <c r="J17" t="s">
        <v>535</v>
      </c>
      <c r="K17" t="s">
        <v>18</v>
      </c>
      <c r="L17">
        <v>0</v>
      </c>
    </row>
    <row r="18" spans="1:12" x14ac:dyDescent="0.25">
      <c r="A18" t="s">
        <v>375</v>
      </c>
      <c r="B18" t="s">
        <v>14</v>
      </c>
      <c r="C18" t="s">
        <v>428</v>
      </c>
      <c r="D18" t="s">
        <v>250</v>
      </c>
      <c r="E18">
        <v>0</v>
      </c>
      <c r="F18" t="str">
        <f>IF(C18="","",IF(OR(COUNTIF($C:$C,C18)&gt;1,COUNTIF(Prensa!C:C,C18)+COUNTIF(Carga!C:C,C18)+COUNTIF(Escolha41!C:C,C18)+COUNTIF(Escolha43!C:C,C18)-COUNTIF($C:$C,C18)&gt;0),"CONFLITO","OK"))</f>
        <v>OK</v>
      </c>
      <c r="H18" t="s">
        <v>19</v>
      </c>
      <c r="I18" t="s">
        <v>14</v>
      </c>
      <c r="J18" t="s">
        <v>536</v>
      </c>
      <c r="K18" t="s">
        <v>20</v>
      </c>
      <c r="L18">
        <v>0</v>
      </c>
    </row>
    <row r="19" spans="1:12" x14ac:dyDescent="0.25">
      <c r="A19" t="s">
        <v>373</v>
      </c>
      <c r="B19" t="s">
        <v>14</v>
      </c>
      <c r="C19" t="s">
        <v>429</v>
      </c>
      <c r="D19" t="s">
        <v>374</v>
      </c>
      <c r="E19">
        <v>0</v>
      </c>
      <c r="F19" t="str">
        <f>IF(C19="","",IF(OR(COUNTIF($C:$C,C19)&gt;1,COUNTIF(Prensa!C:C,C19)+COUNTIF(Carga!C:C,C19)+COUNTIF(Escolha41!C:C,C19)+COUNTIF(Escolha43!C:C,C19)-COUNTIF($C:$C,C19)&gt;0),"CONFLITO","OK"))</f>
        <v>OK</v>
      </c>
      <c r="H19" t="s">
        <v>352</v>
      </c>
      <c r="I19" t="s">
        <v>14</v>
      </c>
      <c r="J19" t="s">
        <v>327</v>
      </c>
      <c r="K19" t="s">
        <v>353</v>
      </c>
      <c r="L19">
        <v>0</v>
      </c>
    </row>
    <row r="20" spans="1:12" x14ac:dyDescent="0.25">
      <c r="A20" t="s">
        <v>371</v>
      </c>
      <c r="B20" t="s">
        <v>14</v>
      </c>
      <c r="C20" t="s">
        <v>430</v>
      </c>
      <c r="D20" t="s">
        <v>372</v>
      </c>
      <c r="E20">
        <v>0</v>
      </c>
      <c r="F20" t="str">
        <f>IF(C20="","",IF(OR(COUNTIF($C:$C,C20)&gt;1,COUNTIF(Prensa!C:C,C20)+COUNTIF(Carga!C:C,C20)+COUNTIF(Escolha41!C:C,C20)+COUNTIF(Escolha43!C:C,C20)-COUNTIF($C:$C,C20)&gt;0),"CONFLITO","OK"))</f>
        <v>OK</v>
      </c>
      <c r="H20" t="s">
        <v>317</v>
      </c>
      <c r="I20" t="s">
        <v>14</v>
      </c>
      <c r="J20" t="s">
        <v>318</v>
      </c>
      <c r="K20" t="s">
        <v>367</v>
      </c>
      <c r="L20">
        <v>0</v>
      </c>
    </row>
    <row r="21" spans="1:12" x14ac:dyDescent="0.25">
      <c r="A21" t="s">
        <v>257</v>
      </c>
      <c r="B21" t="s">
        <v>14</v>
      </c>
      <c r="C21" t="s">
        <v>431</v>
      </c>
      <c r="D21" t="s">
        <v>370</v>
      </c>
      <c r="E21">
        <v>0</v>
      </c>
      <c r="F21" t="str">
        <f>IF(C21="","",IF(OR(COUNTIF($C:$C,C21)&gt;1,COUNTIF(Prensa!C:C,C21)+COUNTIF(Carga!C:C,C21)+COUNTIF(Escolha41!C:C,C21)+COUNTIF(Escolha43!C:C,C21)-COUNTIF($C:$C,C21)&gt;0),"CONFLITO","OK"))</f>
        <v>OK</v>
      </c>
      <c r="H21" t="s">
        <v>257</v>
      </c>
      <c r="I21" t="s">
        <v>14</v>
      </c>
      <c r="J21" t="s">
        <v>314</v>
      </c>
      <c r="K21" t="s">
        <v>370</v>
      </c>
      <c r="L21">
        <v>0</v>
      </c>
    </row>
    <row r="22" spans="1:12" x14ac:dyDescent="0.25">
      <c r="A22" t="s">
        <v>260</v>
      </c>
      <c r="B22" t="s">
        <v>14</v>
      </c>
      <c r="C22" t="s">
        <v>432</v>
      </c>
      <c r="D22" t="s">
        <v>369</v>
      </c>
      <c r="E22">
        <v>0</v>
      </c>
      <c r="F22" t="str">
        <f>IF(C22="","",IF(OR(COUNTIF($C:$C,C22)&gt;1,COUNTIF(Prensa!C:C,C22)+COUNTIF(Carga!C:C,C22)+COUNTIF(Escolha41!C:C,C22)+COUNTIF(Escolha43!C:C,C22)-COUNTIF($C:$C,C22)&gt;0),"CONFLITO","OK"))</f>
        <v>OK</v>
      </c>
      <c r="H22" t="s">
        <v>34</v>
      </c>
      <c r="I22" t="s">
        <v>1</v>
      </c>
      <c r="J22" t="s">
        <v>540</v>
      </c>
      <c r="K22" t="s">
        <v>33</v>
      </c>
      <c r="L22">
        <v>0</v>
      </c>
    </row>
    <row r="23" spans="1:12" x14ac:dyDescent="0.25">
      <c r="A23" t="s">
        <v>158</v>
      </c>
      <c r="B23" t="s">
        <v>14</v>
      </c>
      <c r="C23" t="s">
        <v>433</v>
      </c>
      <c r="D23" t="s">
        <v>160</v>
      </c>
      <c r="E23">
        <v>0</v>
      </c>
      <c r="F23" t="str">
        <f>IF(C23="","",IF(OR(COUNTIF($C:$C,C23)&gt;1,COUNTIF(Prensa!C:C,C23)+COUNTIF(Carga!C:C,C23)+COUNTIF(Escolha41!C:C,C23)+COUNTIF(Escolha43!C:C,C23)-COUNTIF($C:$C,C23)&gt;0),"CONFLITO","OK"))</f>
        <v>OK</v>
      </c>
      <c r="H23" t="s">
        <v>32</v>
      </c>
      <c r="I23" t="s">
        <v>1</v>
      </c>
      <c r="J23" t="s">
        <v>541</v>
      </c>
      <c r="K23" t="s">
        <v>33</v>
      </c>
      <c r="L23">
        <v>0</v>
      </c>
    </row>
    <row r="24" spans="1:12" x14ac:dyDescent="0.25">
      <c r="A24" t="s">
        <v>368</v>
      </c>
      <c r="B24" t="s">
        <v>14</v>
      </c>
      <c r="C24" t="s">
        <v>434</v>
      </c>
      <c r="D24" t="s">
        <v>166</v>
      </c>
      <c r="E24">
        <v>0</v>
      </c>
      <c r="F24" t="str">
        <f>IF(C24="","",IF(OR(COUNTIF($C:$C,C24)&gt;1,COUNTIF(Prensa!C:C,C24)+COUNTIF(Carga!C:C,C24)+COUNTIF(Escolha41!C:C,C24)+COUNTIF(Escolha43!C:C,C24)-COUNTIF($C:$C,C24)&gt;0),"CONFLITO","OK"))</f>
        <v>OK</v>
      </c>
      <c r="H24" t="s">
        <v>35</v>
      </c>
      <c r="I24" t="s">
        <v>1</v>
      </c>
      <c r="J24" t="s">
        <v>542</v>
      </c>
      <c r="K24" t="s">
        <v>33</v>
      </c>
      <c r="L24">
        <v>0</v>
      </c>
    </row>
    <row r="25" spans="1:12" x14ac:dyDescent="0.25">
      <c r="A25" t="s">
        <v>36</v>
      </c>
      <c r="B25" t="s">
        <v>14</v>
      </c>
      <c r="C25" t="s">
        <v>44</v>
      </c>
      <c r="D25" t="s">
        <v>37</v>
      </c>
      <c r="E25">
        <v>0</v>
      </c>
      <c r="F25" t="str">
        <f>IF(C25="","",IF(OR(COUNTIF($C:$C,C25)&gt;1,COUNTIF(Prensa!C:C,C25)+COUNTIF(Carga!C:C,C25)+COUNTIF(Escolha41!C:C,C25)+COUNTIF(Escolha43!C:C,C25)-COUNTIF($C:$C,C25)&gt;0),"CONFLITO","OK"))</f>
        <v>OK</v>
      </c>
      <c r="H25" t="s">
        <v>356</v>
      </c>
      <c r="I25" t="s">
        <v>14</v>
      </c>
      <c r="J25" t="s">
        <v>324</v>
      </c>
      <c r="K25" t="s">
        <v>356</v>
      </c>
      <c r="L25">
        <v>0</v>
      </c>
    </row>
    <row r="26" spans="1:12" x14ac:dyDescent="0.25">
      <c r="A26" t="s">
        <v>317</v>
      </c>
      <c r="B26" t="s">
        <v>14</v>
      </c>
      <c r="C26" t="s">
        <v>435</v>
      </c>
      <c r="D26" t="s">
        <v>367</v>
      </c>
      <c r="E26">
        <v>0</v>
      </c>
      <c r="F26" t="str">
        <f>IF(C26="","",IF(OR(COUNTIF($C:$C,C26)&gt;1,COUNTIF(Prensa!C:C,C26)+COUNTIF(Carga!C:C,C26)+COUNTIF(Escolha41!C:C,C26)+COUNTIF(Escolha43!C:C,C26)-COUNTIF($C:$C,C26)&gt;0),"CONFLITO","OK"))</f>
        <v>OK</v>
      </c>
      <c r="H26" t="s">
        <v>371</v>
      </c>
      <c r="I26" t="s">
        <v>14</v>
      </c>
      <c r="J26" t="s">
        <v>313</v>
      </c>
      <c r="K26" t="s">
        <v>372</v>
      </c>
      <c r="L26">
        <v>0</v>
      </c>
    </row>
    <row r="27" spans="1:12" x14ac:dyDescent="0.25">
      <c r="A27" t="s">
        <v>365</v>
      </c>
      <c r="B27" t="s">
        <v>14</v>
      </c>
      <c r="C27" t="s">
        <v>436</v>
      </c>
      <c r="D27" t="s">
        <v>366</v>
      </c>
      <c r="E27">
        <v>0</v>
      </c>
      <c r="F27" t="str">
        <f>IF(C27="","",IF(OR(COUNTIF($C:$C,C27)&gt;1,COUNTIF(Prensa!C:C,C27)+COUNTIF(Carga!C:C,C27)+COUNTIF(Escolha41!C:C,C27)+COUNTIF(Escolha43!C:C,C27)-COUNTIF($C:$C,C27)&gt;0),"CONFLITO","OK"))</f>
        <v>OK</v>
      </c>
      <c r="H27" t="s">
        <v>342</v>
      </c>
      <c r="I27" t="s">
        <v>1</v>
      </c>
      <c r="J27" t="s">
        <v>333</v>
      </c>
      <c r="K27" t="s">
        <v>343</v>
      </c>
      <c r="L27">
        <v>0</v>
      </c>
    </row>
    <row r="28" spans="1:12" x14ac:dyDescent="0.25">
      <c r="A28" t="s">
        <v>363</v>
      </c>
      <c r="B28" t="s">
        <v>14</v>
      </c>
      <c r="C28" t="s">
        <v>437</v>
      </c>
      <c r="D28" t="s">
        <v>364</v>
      </c>
      <c r="E28">
        <v>0</v>
      </c>
      <c r="F28" t="str">
        <f>IF(C28="","",IF(OR(COUNTIF($C:$C,C28)&gt;1,COUNTIF(Prensa!C:C,C28)+COUNTIF(Carga!C:C,C28)+COUNTIF(Escolha41!C:C,C28)+COUNTIF(Escolha43!C:C,C28)-COUNTIF($C:$C,C28)&gt;0),"CONFLITO","OK"))</f>
        <v>OK</v>
      </c>
      <c r="H28" t="s">
        <v>340</v>
      </c>
      <c r="I28" t="s">
        <v>1</v>
      </c>
      <c r="J28" t="s">
        <v>334</v>
      </c>
      <c r="K28" t="s">
        <v>341</v>
      </c>
      <c r="L28">
        <v>0</v>
      </c>
    </row>
    <row r="29" spans="1:12" x14ac:dyDescent="0.25">
      <c r="A29" t="s">
        <v>21</v>
      </c>
      <c r="B29" t="s">
        <v>14</v>
      </c>
      <c r="C29" t="s">
        <v>438</v>
      </c>
      <c r="D29" t="s">
        <v>22</v>
      </c>
      <c r="E29">
        <v>0</v>
      </c>
      <c r="F29" t="str">
        <f>IF(C29="","",IF(OR(COUNTIF($C:$C,C29)&gt;1,COUNTIF(Prensa!C:C,C29)+COUNTIF(Carga!C:C,C29)+COUNTIF(Escolha41!C:C,C29)+COUNTIF(Escolha43!C:C,C29)-COUNTIF($C:$C,C29)&gt;0),"CONFLITO","OK"))</f>
        <v>OK</v>
      </c>
      <c r="H29" t="s">
        <v>338</v>
      </c>
      <c r="I29" t="s">
        <v>1</v>
      </c>
      <c r="J29" t="s">
        <v>335</v>
      </c>
      <c r="K29" t="s">
        <v>339</v>
      </c>
      <c r="L29">
        <v>0</v>
      </c>
    </row>
    <row r="30" spans="1:12" x14ac:dyDescent="0.25">
      <c r="A30" t="s">
        <v>361</v>
      </c>
      <c r="B30" t="s">
        <v>14</v>
      </c>
      <c r="C30" t="s">
        <v>439</v>
      </c>
      <c r="D30" t="s">
        <v>362</v>
      </c>
      <c r="E30">
        <v>0</v>
      </c>
      <c r="F30" t="str">
        <f>IF(C30="","",IF(OR(COUNTIF($C:$C,C30)&gt;1,COUNTIF(Prensa!C:C,C30)+COUNTIF(Carga!C:C,C30)+COUNTIF(Escolha41!C:C,C30)+COUNTIF(Escolha43!C:C,C30)-COUNTIF($C:$C,C30)&gt;0),"CONFLITO","OK"))</f>
        <v>OK</v>
      </c>
      <c r="H30" t="s">
        <v>348</v>
      </c>
      <c r="I30" t="s">
        <v>14</v>
      </c>
      <c r="J30" t="s">
        <v>330</v>
      </c>
      <c r="K30" t="s">
        <v>349</v>
      </c>
      <c r="L30">
        <v>0</v>
      </c>
    </row>
    <row r="31" spans="1:12" x14ac:dyDescent="0.25">
      <c r="A31" t="s">
        <v>23</v>
      </c>
      <c r="B31" t="s">
        <v>14</v>
      </c>
      <c r="C31" t="s">
        <v>440</v>
      </c>
      <c r="D31" t="s">
        <v>24</v>
      </c>
      <c r="E31">
        <v>0</v>
      </c>
      <c r="F31" t="str">
        <f>IF(C31="","",IF(OR(COUNTIF($C:$C,C31)&gt;1,COUNTIF(Prensa!C:C,C31)+COUNTIF(Carga!C:C,C31)+COUNTIF(Escolha41!C:C,C31)+COUNTIF(Escolha43!C:C,C31)-COUNTIF($C:$C,C31)&gt;0),"CONFLITO","OK"))</f>
        <v>OK</v>
      </c>
      <c r="H31" t="s">
        <v>344</v>
      </c>
      <c r="I31" t="s">
        <v>1</v>
      </c>
      <c r="J31" t="s">
        <v>332</v>
      </c>
      <c r="K31" t="s">
        <v>345</v>
      </c>
      <c r="L31">
        <v>0</v>
      </c>
    </row>
    <row r="32" spans="1:12" x14ac:dyDescent="0.25">
      <c r="A32" t="s">
        <v>471</v>
      </c>
      <c r="B32" t="s">
        <v>460</v>
      </c>
      <c r="C32" t="s">
        <v>171</v>
      </c>
      <c r="E32">
        <v>0</v>
      </c>
      <c r="F32" t="str">
        <f>IF(C32="","",IF(OR(COUNTIF($C:$C,C32)&gt;1,COUNTIF(Prensa!C:C,C32)+COUNTIF(Carga!C:C,C32)+COUNTIF(Escolha41!C:C,C32)+COUNTIF(Escolha43!C:C,C32)-COUNTIF($C:$C,C32)&gt;0),"CONFLITO","OK"))</f>
        <v>OK</v>
      </c>
      <c r="H32" t="s">
        <v>350</v>
      </c>
      <c r="I32" t="s">
        <v>14</v>
      </c>
      <c r="J32" t="s">
        <v>328</v>
      </c>
      <c r="K32" t="s">
        <v>351</v>
      </c>
      <c r="L32">
        <v>0</v>
      </c>
    </row>
    <row r="33" spans="1:12" x14ac:dyDescent="0.25">
      <c r="A33" t="s">
        <v>472</v>
      </c>
      <c r="B33" t="s">
        <v>460</v>
      </c>
      <c r="C33" t="s">
        <v>468</v>
      </c>
      <c r="E33">
        <v>0</v>
      </c>
      <c r="F33" t="str">
        <f>IF(C33="","",IF(OR(COUNTIF($C:$C,C33)&gt;1,COUNTIF(Prensa!C:C,C33)+COUNTIF(Carga!C:C,C33)+COUNTIF(Escolha41!C:C,C33)+COUNTIF(Escolha43!C:C,C33)-COUNTIF($C:$C,C33)&gt;0),"CONFLITO","OK"))</f>
        <v>OK</v>
      </c>
      <c r="H33" t="s">
        <v>260</v>
      </c>
      <c r="I33" t="s">
        <v>14</v>
      </c>
      <c r="J33" t="s">
        <v>315</v>
      </c>
      <c r="K33" t="s">
        <v>369</v>
      </c>
      <c r="L33">
        <v>0</v>
      </c>
    </row>
    <row r="34" spans="1:12" x14ac:dyDescent="0.25">
      <c r="A34" t="s">
        <v>473</v>
      </c>
      <c r="B34" t="s">
        <v>460</v>
      </c>
      <c r="C34" t="s">
        <v>469</v>
      </c>
      <c r="E34">
        <v>0</v>
      </c>
      <c r="F34" t="str">
        <f>IF(C34="","",IF(OR(COUNTIF($C:$C,C34)&gt;1,COUNTIF(Prensa!C:C,C34)+COUNTIF(Carga!C:C,C34)+COUNTIF(Escolha41!C:C,C34)+COUNTIF(Escolha43!C:C,C34)-COUNTIF($C:$C,C34)&gt;0),"CONFLITO","OK"))</f>
        <v>OK</v>
      </c>
      <c r="H34" t="s">
        <v>329</v>
      </c>
      <c r="I34" t="s">
        <v>14</v>
      </c>
      <c r="J34" t="s">
        <v>528</v>
      </c>
      <c r="K34" t="s">
        <v>347</v>
      </c>
      <c r="L34">
        <v>0</v>
      </c>
    </row>
    <row r="35" spans="1:12" x14ac:dyDescent="0.25">
      <c r="A35" t="s">
        <v>474</v>
      </c>
      <c r="B35" t="s">
        <v>460</v>
      </c>
      <c r="C35" t="s">
        <v>470</v>
      </c>
      <c r="E35">
        <v>0</v>
      </c>
      <c r="F35" t="str">
        <f>IF(C35="","",IF(OR(COUNTIF($C:$C,C35)&gt;1,COUNTIF(Prensa!C:C,C35)+COUNTIF(Carga!C:C,C35)+COUNTIF(Escolha41!C:C,C35)+COUNTIF(Escolha43!C:C,C35)-COUNTIF($C:$C,C35)&gt;0),"CONFLITO","OK"))</f>
        <v>OK</v>
      </c>
      <c r="H35" t="s">
        <v>346</v>
      </c>
      <c r="I35" t="s">
        <v>14</v>
      </c>
      <c r="J35" t="s">
        <v>331</v>
      </c>
      <c r="K35" t="s">
        <v>347</v>
      </c>
      <c r="L35">
        <v>0</v>
      </c>
    </row>
    <row r="36" spans="1:12" x14ac:dyDescent="0.25">
      <c r="A36" t="s">
        <v>459</v>
      </c>
      <c r="B36" t="s">
        <v>460</v>
      </c>
      <c r="C36" t="s">
        <v>461</v>
      </c>
      <c r="D36" t="s">
        <v>462</v>
      </c>
      <c r="E36">
        <v>0</v>
      </c>
      <c r="F36" t="str">
        <f>IF(C36="","",IF(OR(COUNTIF($C:$C,C36)&gt;1,COUNTIF(Prensa!C:C,C36)+COUNTIF(Carga!C:C,C36)+COUNTIF(Escolha41!C:C,C36)+COUNTIF(Escolha43!C:C,C36)-COUNTIF($C:$C,C36)&gt;0),"CONFLITO","OK"))</f>
        <v>CONFLITO</v>
      </c>
      <c r="H36" t="s">
        <v>355</v>
      </c>
      <c r="I36" t="s">
        <v>14</v>
      </c>
      <c r="J36" t="s">
        <v>325</v>
      </c>
      <c r="K36" t="s">
        <v>355</v>
      </c>
      <c r="L36">
        <v>0</v>
      </c>
    </row>
    <row r="37" spans="1:12" x14ac:dyDescent="0.25">
      <c r="A37" t="s">
        <v>475</v>
      </c>
      <c r="B37" t="s">
        <v>460</v>
      </c>
      <c r="C37" t="s">
        <v>461</v>
      </c>
      <c r="E37">
        <v>0</v>
      </c>
      <c r="F37" t="str">
        <f>IF(C37="","",IF(OR(COUNTIF($C:$C,C37)&gt;1,COUNTIF(Prensa!C:C,C37)+COUNTIF(Carga!C:C,C37)+COUNTIF(Escolha41!C:C,C37)+COUNTIF(Escolha43!C:C,C37)-COUNTIF($C:$C,C37)&gt;0),"CONFLITO","OK"))</f>
        <v>CONFLITO</v>
      </c>
      <c r="H37" t="s">
        <v>373</v>
      </c>
      <c r="I37" t="s">
        <v>14</v>
      </c>
      <c r="J37" t="s">
        <v>312</v>
      </c>
      <c r="K37" t="s">
        <v>374</v>
      </c>
      <c r="L37">
        <v>0</v>
      </c>
    </row>
    <row r="38" spans="1:12" x14ac:dyDescent="0.25">
      <c r="A38" t="s">
        <v>485</v>
      </c>
      <c r="B38" t="s">
        <v>460</v>
      </c>
      <c r="C38" t="s">
        <v>476</v>
      </c>
      <c r="F38" t="str">
        <f>IF(C38="","",IF(OR(COUNTIF($C:$C,C38)&gt;1,COUNTIF(Prensa!C:C,C38)+COUNTIF(Carga!C:C,C38)+COUNTIF(Escolha41!C:C,C38)+COUNTIF(Escolha43!C:C,C38)-COUNTIF($C:$C,C38)&gt;0),"CONFLITO","OK"))</f>
        <v>OK</v>
      </c>
      <c r="H38" t="s">
        <v>359</v>
      </c>
      <c r="I38" t="s">
        <v>14</v>
      </c>
      <c r="J38" t="s">
        <v>322</v>
      </c>
      <c r="K38" t="s">
        <v>360</v>
      </c>
      <c r="L38">
        <v>0</v>
      </c>
    </row>
    <row r="39" spans="1:12" x14ac:dyDescent="0.25">
      <c r="A39" t="s">
        <v>486</v>
      </c>
      <c r="B39" t="s">
        <v>460</v>
      </c>
      <c r="C39" t="s">
        <v>477</v>
      </c>
      <c r="F39" t="str">
        <f>IF(C39="","",IF(OR(COUNTIF($C:$C,C39)&gt;1,COUNTIF(Prensa!C:C,C39)+COUNTIF(Carga!C:C,C39)+COUNTIF(Escolha41!C:C,C39)+COUNTIF(Escolha43!C:C,C39)-COUNTIF($C:$C,C39)&gt;0),"CONFLITO","OK"))</f>
        <v>OK</v>
      </c>
      <c r="H39" t="s">
        <v>361</v>
      </c>
      <c r="I39" t="s">
        <v>14</v>
      </c>
      <c r="J39" t="s">
        <v>321</v>
      </c>
      <c r="K39" t="s">
        <v>362</v>
      </c>
      <c r="L39">
        <v>0</v>
      </c>
    </row>
    <row r="40" spans="1:12" x14ac:dyDescent="0.25">
      <c r="A40" t="s">
        <v>487</v>
      </c>
      <c r="B40" t="s">
        <v>460</v>
      </c>
      <c r="C40" t="s">
        <v>478</v>
      </c>
      <c r="F40" t="str">
        <f>IF(C40="","",IF(OR(COUNTIF($C:$C,C40)&gt;1,COUNTIF(Prensa!C:C,C40)+COUNTIF(Carga!C:C,C40)+COUNTIF(Escolha41!C:C,C40)+COUNTIF(Escolha43!C:C,C40)-COUNTIF($C:$C,C40)&gt;0),"CONFLITO","OK"))</f>
        <v>OK</v>
      </c>
      <c r="H40" t="s">
        <v>363</v>
      </c>
      <c r="I40" t="s">
        <v>14</v>
      </c>
      <c r="J40" t="s">
        <v>320</v>
      </c>
      <c r="K40" t="s">
        <v>364</v>
      </c>
      <c r="L40">
        <v>0</v>
      </c>
    </row>
    <row r="41" spans="1:12" x14ac:dyDescent="0.25">
      <c r="A41" t="s">
        <v>488</v>
      </c>
      <c r="B41" t="s">
        <v>460</v>
      </c>
      <c r="C41" t="s">
        <v>479</v>
      </c>
      <c r="F41" t="str">
        <f>IF(C41="","",IF(OR(COUNTIF($C:$C,C41)&gt;1,COUNTIF(Prensa!C:C,C41)+COUNTIF(Carga!C:C,C41)+COUNTIF(Escolha41!C:C,C41)+COUNTIF(Escolha43!C:C,C41)-COUNTIF($C:$C,C41)&gt;0),"CONFLITO","OK"))</f>
        <v>OK</v>
      </c>
      <c r="H41" t="s">
        <v>365</v>
      </c>
      <c r="I41" t="s">
        <v>14</v>
      </c>
      <c r="J41" t="s">
        <v>319</v>
      </c>
      <c r="K41" t="s">
        <v>366</v>
      </c>
      <c r="L41">
        <v>0</v>
      </c>
    </row>
    <row r="42" spans="1:12" x14ac:dyDescent="0.25">
      <c r="A42" t="s">
        <v>463</v>
      </c>
      <c r="B42" t="s">
        <v>14</v>
      </c>
      <c r="C42" t="s">
        <v>174</v>
      </c>
      <c r="D42" t="s">
        <v>464</v>
      </c>
      <c r="E42">
        <v>0</v>
      </c>
      <c r="F42" t="str">
        <f>IF(C42="","",IF(OR(COUNTIF($C:$C,C42)&gt;1,COUNTIF(Prensa!C:C,C42)+COUNTIF(Carga!C:C,C42)+COUNTIF(Escolha41!C:C,C42)+COUNTIF(Escolha43!C:C,C42)-COUNTIF($C:$C,C42)&gt;0),"CONFLITO","OK"))</f>
        <v>CONFLITO</v>
      </c>
      <c r="H42" t="s">
        <v>465</v>
      </c>
      <c r="I42" t="s">
        <v>460</v>
      </c>
      <c r="J42" t="s">
        <v>466</v>
      </c>
      <c r="K42" t="s">
        <v>467</v>
      </c>
      <c r="L42">
        <v>0</v>
      </c>
    </row>
    <row r="43" spans="1:12" x14ac:dyDescent="0.25">
      <c r="A43" t="s">
        <v>489</v>
      </c>
      <c r="B43" t="s">
        <v>460</v>
      </c>
      <c r="C43" t="s">
        <v>174</v>
      </c>
      <c r="F43" t="str">
        <f>IF(C43="","",IF(OR(COUNTIF($C:$C,C43)&gt;1,COUNTIF(Prensa!C:C,C43)+COUNTIF(Carga!C:C,C43)+COUNTIF(Escolha41!C:C,C43)+COUNTIF(Escolha43!C:C,C43)-COUNTIF($C:$C,C43)&gt;0),"CONFLITO","OK"))</f>
        <v>CONFLITO</v>
      </c>
      <c r="H43" t="s">
        <v>459</v>
      </c>
      <c r="I43" t="s">
        <v>460</v>
      </c>
      <c r="J43" t="s">
        <v>461</v>
      </c>
      <c r="K43" t="s">
        <v>462</v>
      </c>
      <c r="L43">
        <v>0</v>
      </c>
    </row>
    <row r="44" spans="1:12" x14ac:dyDescent="0.25">
      <c r="A44" t="s">
        <v>359</v>
      </c>
      <c r="B44" t="s">
        <v>14</v>
      </c>
      <c r="C44" t="s">
        <v>441</v>
      </c>
      <c r="D44" t="s">
        <v>360</v>
      </c>
      <c r="E44">
        <v>0</v>
      </c>
      <c r="F44" t="str">
        <f>IF(C44="","",IF(OR(COUNTIF($C:$C,C44)&gt;1,COUNTIF(Prensa!C:C,C44)+COUNTIF(Carga!C:C,C44)+COUNTIF(Escolha41!C:C,C44)+COUNTIF(Escolha43!C:C,C44)-COUNTIF($C:$C,C44)&gt;0),"CONFLITO","OK"))</f>
        <v>OK</v>
      </c>
      <c r="H44" t="s">
        <v>463</v>
      </c>
      <c r="I44" t="s">
        <v>14</v>
      </c>
      <c r="J44" t="s">
        <v>174</v>
      </c>
      <c r="K44" t="s">
        <v>464</v>
      </c>
      <c r="L44">
        <v>0</v>
      </c>
    </row>
    <row r="45" spans="1:12" x14ac:dyDescent="0.25">
      <c r="A45" t="s">
        <v>480</v>
      </c>
      <c r="B45" t="s">
        <v>460</v>
      </c>
      <c r="C45" t="s">
        <v>490</v>
      </c>
      <c r="F45" t="str">
        <f>IF(C45="","",IF(OR(COUNTIF($C:$C,C45)&gt;1,COUNTIF(Prensa!C:C,C45)+COUNTIF(Carga!C:C,C45)+COUNTIF(Escolha41!C:C,C45)+COUNTIF(Escolha43!C:C,C45)-COUNTIF($C:$C,C45)&gt;0),"CONFLITO","OK"))</f>
        <v>OK</v>
      </c>
      <c r="H45" t="s">
        <v>0</v>
      </c>
      <c r="I45" t="s">
        <v>1</v>
      </c>
      <c r="J45" t="s">
        <v>2</v>
      </c>
      <c r="K45" t="s">
        <v>3</v>
      </c>
      <c r="L45">
        <v>0</v>
      </c>
    </row>
    <row r="46" spans="1:12" x14ac:dyDescent="0.25">
      <c r="A46" t="s">
        <v>481</v>
      </c>
      <c r="B46" t="s">
        <v>460</v>
      </c>
      <c r="C46" t="s">
        <v>491</v>
      </c>
      <c r="F46" t="str">
        <f>IF(C46="","",IF(OR(COUNTIF($C:$C,C46)&gt;1,COUNTIF(Prensa!C:C,C46)+COUNTIF(Carga!C:C,C46)+COUNTIF(Escolha41!C:C,C46)+COUNTIF(Escolha43!C:C,C46)-COUNTIF($C:$C,C46)&gt;0),"CONFLITO","OK"))</f>
        <v>OK</v>
      </c>
      <c r="H46" t="s">
        <v>378</v>
      </c>
      <c r="I46" t="s">
        <v>1</v>
      </c>
      <c r="J46" t="s">
        <v>309</v>
      </c>
      <c r="K46" t="s">
        <v>379</v>
      </c>
      <c r="L46">
        <v>0</v>
      </c>
    </row>
    <row r="47" spans="1:12" x14ac:dyDescent="0.25">
      <c r="A47" t="s">
        <v>482</v>
      </c>
      <c r="B47" t="s">
        <v>460</v>
      </c>
      <c r="C47" t="s">
        <v>492</v>
      </c>
      <c r="F47" t="str">
        <f>IF(C47="","",IF(OR(COUNTIF($C:$C,C47)&gt;1,COUNTIF(Prensa!C:C,C47)+COUNTIF(Carga!C:C,C47)+COUNTIF(Escolha41!C:C,C47)+COUNTIF(Escolha43!C:C,C47)-COUNTIF($C:$C,C47)&gt;0),"CONFLITO","OK"))</f>
        <v>OK</v>
      </c>
      <c r="H47" t="s">
        <v>7</v>
      </c>
      <c r="I47" t="s">
        <v>1</v>
      </c>
      <c r="J47" t="s">
        <v>8</v>
      </c>
      <c r="K47" t="s">
        <v>9</v>
      </c>
      <c r="L47">
        <v>0</v>
      </c>
    </row>
    <row r="48" spans="1:12" x14ac:dyDescent="0.25">
      <c r="A48" t="s">
        <v>483</v>
      </c>
      <c r="B48" t="s">
        <v>460</v>
      </c>
      <c r="C48" t="s">
        <v>493</v>
      </c>
      <c r="F48" t="str">
        <f>IF(C48="","",IF(OR(COUNTIF($C:$C,C48)&gt;1,COUNTIF(Prensa!C:C,C48)+COUNTIF(Carga!C:C,C48)+COUNTIF(Escolha41!C:C,C48)+COUNTIF(Escolha43!C:C,C48)-COUNTIF($C:$C,C48)&gt;0),"CONFLITO","OK"))</f>
        <v>OK</v>
      </c>
      <c r="H48" t="s">
        <v>10</v>
      </c>
      <c r="I48" t="s">
        <v>1</v>
      </c>
      <c r="J48" t="s">
        <v>532</v>
      </c>
      <c r="K48" t="s">
        <v>11</v>
      </c>
      <c r="L48">
        <v>0</v>
      </c>
    </row>
    <row r="49" spans="1:12" x14ac:dyDescent="0.25">
      <c r="A49" t="s">
        <v>465</v>
      </c>
      <c r="B49" t="s">
        <v>460</v>
      </c>
      <c r="C49" t="s">
        <v>466</v>
      </c>
      <c r="D49" t="s">
        <v>467</v>
      </c>
      <c r="E49">
        <v>0</v>
      </c>
      <c r="F49" t="str">
        <f>IF(C49="","",IF(OR(COUNTIF($C:$C,C49)&gt;1,COUNTIF(Prensa!C:C,C49)+COUNTIF(Carga!C:C,C49)+COUNTIF(Escolha41!C:C,C49)+COUNTIF(Escolha43!C:C,C49)-COUNTIF($C:$C,C49)&gt;0),"CONFLITO","OK"))</f>
        <v>CONFLITO</v>
      </c>
      <c r="H49" t="s">
        <v>4</v>
      </c>
      <c r="I49" t="s">
        <v>1</v>
      </c>
      <c r="J49" t="s">
        <v>5</v>
      </c>
      <c r="K49" t="s">
        <v>6</v>
      </c>
      <c r="L49">
        <v>0</v>
      </c>
    </row>
    <row r="50" spans="1:12" x14ac:dyDescent="0.25">
      <c r="A50" t="s">
        <v>484</v>
      </c>
      <c r="B50" t="s">
        <v>460</v>
      </c>
      <c r="C50" t="s">
        <v>466</v>
      </c>
      <c r="F50" t="str">
        <f>IF(C50="","",IF(OR(COUNTIF($C:$C,C50)&gt;1,COUNTIF(Prensa!C:C,C50)+COUNTIF(Carga!C:C,C50)+COUNTIF(Escolha41!C:C,C50)+COUNTIF(Escolha43!C:C,C50)-COUNTIF($C:$C,C50)&gt;0),"CONFLITO","OK"))</f>
        <v>CONFLITO</v>
      </c>
      <c r="H50" t="s">
        <v>12</v>
      </c>
      <c r="I50" t="s">
        <v>1</v>
      </c>
      <c r="J50" t="s">
        <v>533</v>
      </c>
      <c r="K50" t="s">
        <v>13</v>
      </c>
      <c r="L50">
        <v>0</v>
      </c>
    </row>
    <row r="51" spans="1:12" x14ac:dyDescent="0.25">
      <c r="A51" t="s">
        <v>499</v>
      </c>
      <c r="B51" t="s">
        <v>460</v>
      </c>
      <c r="C51" t="s">
        <v>494</v>
      </c>
      <c r="F51" t="str">
        <f>IF(C51="","",IF(OR(COUNTIF($C:$C,C51)&gt;1,COUNTIF(Prensa!C:C,C51)+COUNTIF(Carga!C:C,C51)+COUNTIF(Escolha41!C:C,C51)+COUNTIF(Escolha43!C:C,C51)-COUNTIF($C:$C,C51)&gt;0),"CONFLITO","OK"))</f>
        <v>OK</v>
      </c>
      <c r="H51" t="s">
        <v>357</v>
      </c>
      <c r="I51" t="s">
        <v>14</v>
      </c>
      <c r="J51" t="s">
        <v>323</v>
      </c>
      <c r="K51" t="s">
        <v>358</v>
      </c>
      <c r="L51">
        <v>0</v>
      </c>
    </row>
    <row r="52" spans="1:12" x14ac:dyDescent="0.25">
      <c r="A52" t="s">
        <v>500</v>
      </c>
      <c r="B52" t="s">
        <v>460</v>
      </c>
      <c r="C52" t="s">
        <v>495</v>
      </c>
      <c r="F52" t="str">
        <f>IF(C52="","",IF(OR(COUNTIF($C:$C,C52)&gt;1,COUNTIF(Prensa!C:C,C52)+COUNTIF(Carga!C:C,C52)+COUNTIF(Escolha41!C:C,C52)+COUNTIF(Escolha43!C:C,C52)-COUNTIF($C:$C,C52)&gt;0),"CONFLITO","OK"))</f>
        <v>OK</v>
      </c>
      <c r="H52" t="s">
        <v>337</v>
      </c>
      <c r="I52" t="s">
        <v>1</v>
      </c>
      <c r="J52" t="s">
        <v>336</v>
      </c>
      <c r="K52" t="s">
        <v>29</v>
      </c>
      <c r="L52">
        <v>0</v>
      </c>
    </row>
    <row r="53" spans="1:12" x14ac:dyDescent="0.25">
      <c r="A53" t="s">
        <v>501</v>
      </c>
      <c r="B53" t="s">
        <v>460</v>
      </c>
      <c r="C53" t="s">
        <v>496</v>
      </c>
      <c r="F53" t="str">
        <f>IF(C53="","",IF(OR(COUNTIF($C:$C,C53)&gt;1,COUNTIF(Prensa!C:C,C53)+COUNTIF(Carga!C:C,C53)+COUNTIF(Escolha41!C:C,C53)+COUNTIF(Escolha43!C:C,C53)-COUNTIF($C:$C,C53)&gt;0),"CONFLITO","OK"))</f>
        <v>OK</v>
      </c>
      <c r="H53" t="s">
        <v>27</v>
      </c>
      <c r="I53" t="s">
        <v>1</v>
      </c>
      <c r="J53" t="s">
        <v>28</v>
      </c>
      <c r="K53" t="s">
        <v>29</v>
      </c>
      <c r="L53">
        <v>0</v>
      </c>
    </row>
    <row r="54" spans="1:12" x14ac:dyDescent="0.25">
      <c r="A54" t="s">
        <v>502</v>
      </c>
      <c r="B54" t="s">
        <v>460</v>
      </c>
      <c r="C54" t="s">
        <v>497</v>
      </c>
      <c r="F54" t="str">
        <f>IF(C54="","",IF(OR(COUNTIF($C:$C,C54)&gt;1,COUNTIF(Prensa!C:C,C54)+COUNTIF(Carga!C:C,C54)+COUNTIF(Escolha41!C:C,C54)+COUNTIF(Escolha43!C:C,C54)-COUNTIF($C:$C,C54)&gt;0),"CONFLITO","OK"))</f>
        <v>OK</v>
      </c>
      <c r="H54" t="s">
        <v>30</v>
      </c>
      <c r="I54" t="s">
        <v>1</v>
      </c>
      <c r="J54" t="s">
        <v>31</v>
      </c>
      <c r="K54" t="s">
        <v>29</v>
      </c>
      <c r="L54">
        <v>0</v>
      </c>
    </row>
    <row r="55" spans="1:12" x14ac:dyDescent="0.25">
      <c r="A55" t="s">
        <v>498</v>
      </c>
      <c r="B55" t="s">
        <v>460</v>
      </c>
      <c r="C55" t="s">
        <v>503</v>
      </c>
      <c r="F55" t="str">
        <f>IF(C55="","",IF(OR(COUNTIF($C:$C,C55)&gt;1,COUNTIF(Prensa!C:C,C55)+COUNTIF(Carga!C:C,C55)+COUNTIF(Escolha41!C:C,C55)+COUNTIF(Escolha43!C:C,C55)-COUNTIF($C:$C,C55)&gt;0),"CONFLITO","OK"))</f>
        <v>OK</v>
      </c>
      <c r="H55" t="s">
        <v>354</v>
      </c>
      <c r="I55" t="s">
        <v>14</v>
      </c>
      <c r="J55" t="s">
        <v>326</v>
      </c>
      <c r="K55" t="s">
        <v>354</v>
      </c>
      <c r="L55">
        <v>0</v>
      </c>
    </row>
    <row r="56" spans="1:12" x14ac:dyDescent="0.25">
      <c r="A56" t="s">
        <v>25</v>
      </c>
      <c r="B56" t="s">
        <v>14</v>
      </c>
      <c r="C56" t="s">
        <v>456</v>
      </c>
      <c r="D56" t="s">
        <v>26</v>
      </c>
      <c r="E56">
        <v>0</v>
      </c>
      <c r="F56" t="str">
        <f>IF(C56="","",IF(OR(COUNTIF($C:$C,C56)&gt;1,COUNTIF(Prensa!C:C,C56)+COUNTIF(Carga!C:C,C56)+COUNTIF(Escolha41!C:C,C56)+COUNTIF(Escolha43!C:C,C56)-COUNTIF($C:$C,C56)&gt;0),"CONFLITO","OK"))</f>
        <v>OK</v>
      </c>
      <c r="H56" t="s">
        <v>375</v>
      </c>
      <c r="I56" t="s">
        <v>14</v>
      </c>
      <c r="J56" t="s">
        <v>311</v>
      </c>
      <c r="K56" t="s">
        <v>250</v>
      </c>
      <c r="L56">
        <v>0</v>
      </c>
    </row>
    <row r="57" spans="1:12" x14ac:dyDescent="0.25">
      <c r="A57" t="s">
        <v>507</v>
      </c>
      <c r="B57" t="s">
        <v>460</v>
      </c>
      <c r="C57" t="s">
        <v>504</v>
      </c>
      <c r="F57" t="str">
        <f>IF(C57="","",IF(OR(COUNTIF($C:$C,C57)&gt;1,COUNTIF(Prensa!C:C,C57)+COUNTIF(Carga!C:C,C57)+COUNTIF(Escolha41!C:C,C57)+COUNTIF(Escolha43!C:C,C57)-COUNTIF($C:$C,C57)&gt;0),"CONFLITO","OK"))</f>
        <v>OK</v>
      </c>
      <c r="H57" t="s">
        <v>377</v>
      </c>
      <c r="I57" t="s">
        <v>1</v>
      </c>
      <c r="J57" t="s">
        <v>543</v>
      </c>
      <c r="L57">
        <v>0</v>
      </c>
    </row>
    <row r="58" spans="1:12" x14ac:dyDescent="0.25">
      <c r="A58" t="s">
        <v>508</v>
      </c>
      <c r="B58" t="s">
        <v>460</v>
      </c>
      <c r="C58" t="s">
        <v>505</v>
      </c>
      <c r="F58" t="str">
        <f>IF(C58="","",IF(OR(COUNTIF($C:$C,C58)&gt;1,COUNTIF(Prensa!C:C,C58)+COUNTIF(Carga!C:C,C58)+COUNTIF(Escolha41!C:C,C58)+COUNTIF(Escolha43!C:C,C58)-COUNTIF($C:$C,C58)&gt;0),"CONFLITO","OK"))</f>
        <v>OK</v>
      </c>
      <c r="H58" t="s">
        <v>471</v>
      </c>
      <c r="I58" t="s">
        <v>460</v>
      </c>
      <c r="J58" t="s">
        <v>171</v>
      </c>
      <c r="L58">
        <v>0</v>
      </c>
    </row>
    <row r="59" spans="1:12" x14ac:dyDescent="0.25">
      <c r="A59" t="s">
        <v>509</v>
      </c>
      <c r="B59" t="s">
        <v>460</v>
      </c>
      <c r="C59" t="s">
        <v>506</v>
      </c>
      <c r="F59" t="str">
        <f>IF(C59="","",IF(OR(COUNTIF($C:$C,C59)&gt;1,COUNTIF(Prensa!C:C,C59)+COUNTIF(Carga!C:C,C59)+COUNTIF(Escolha41!C:C,C59)+COUNTIF(Escolha43!C:C,C59)-COUNTIF($C:$C,C59)&gt;0),"CONFLITO","OK"))</f>
        <v>OK</v>
      </c>
      <c r="H59" t="s">
        <v>472</v>
      </c>
      <c r="I59" t="s">
        <v>460</v>
      </c>
      <c r="J59" t="s">
        <v>468</v>
      </c>
      <c r="L59">
        <v>0</v>
      </c>
    </row>
    <row r="60" spans="1:12" x14ac:dyDescent="0.25">
      <c r="A60" t="s">
        <v>498</v>
      </c>
      <c r="B60" t="s">
        <v>460</v>
      </c>
      <c r="C60" t="s">
        <v>510</v>
      </c>
      <c r="F60" t="str">
        <f>IF(C60="","",IF(OR(COUNTIF($C:$C,C60)&gt;1,COUNTIF(Prensa!C:C,C60)+COUNTIF(Carga!C:C,C60)+COUNTIF(Escolha41!C:C,C60)+COUNTIF(Escolha43!C:C,C60)-COUNTIF($C:$C,C60)&gt;0),"CONFLITO","OK"))</f>
        <v>OK</v>
      </c>
      <c r="H60" t="s">
        <v>473</v>
      </c>
      <c r="I60" t="s">
        <v>460</v>
      </c>
      <c r="J60" t="s">
        <v>469</v>
      </c>
      <c r="L60">
        <v>0</v>
      </c>
    </row>
    <row r="61" spans="1:12" x14ac:dyDescent="0.25">
      <c r="A61" t="s">
        <v>507</v>
      </c>
      <c r="B61" t="s">
        <v>460</v>
      </c>
      <c r="C61" t="s">
        <v>511</v>
      </c>
      <c r="F61" t="str">
        <f>IF(C61="","",IF(OR(COUNTIF($C:$C,C61)&gt;1,COUNTIF(Prensa!C:C,C61)+COUNTIF(Carga!C:C,C61)+COUNTIF(Escolha41!C:C,C61)+COUNTIF(Escolha43!C:C,C61)-COUNTIF($C:$C,C61)&gt;0),"CONFLITO","OK"))</f>
        <v>OK</v>
      </c>
      <c r="H61" t="s">
        <v>474</v>
      </c>
      <c r="I61" t="s">
        <v>460</v>
      </c>
      <c r="J61" t="s">
        <v>470</v>
      </c>
      <c r="L61">
        <v>0</v>
      </c>
    </row>
    <row r="62" spans="1:12" x14ac:dyDescent="0.25">
      <c r="A62" t="s">
        <v>508</v>
      </c>
      <c r="B62" t="s">
        <v>460</v>
      </c>
      <c r="C62" t="s">
        <v>512</v>
      </c>
      <c r="F62" t="str">
        <f>IF(C62="","",IF(OR(COUNTIF($C:$C,C62)&gt;1,COUNTIF(Prensa!C:C,C62)+COUNTIF(Carga!C:C,C62)+COUNTIF(Escolha41!C:C,C62)+COUNTIF(Escolha43!C:C,C62)-COUNTIF($C:$C,C62)&gt;0),"CONFLITO","OK"))</f>
        <v>OK</v>
      </c>
      <c r="H62" t="s">
        <v>475</v>
      </c>
      <c r="I62" t="s">
        <v>460</v>
      </c>
      <c r="J62" t="s">
        <v>461</v>
      </c>
      <c r="L62">
        <v>0</v>
      </c>
    </row>
    <row r="63" spans="1:12" x14ac:dyDescent="0.25">
      <c r="A63" t="s">
        <v>509</v>
      </c>
      <c r="B63" t="s">
        <v>460</v>
      </c>
      <c r="C63" t="s">
        <v>513</v>
      </c>
      <c r="F63" t="str">
        <f>IF(C63="","",IF(OR(COUNTIF($C:$C,C63)&gt;1,COUNTIF(Prensa!C:C,C63)+COUNTIF(Carga!C:C,C63)+COUNTIF(Escolha41!C:C,C63)+COUNTIF(Escolha43!C:C,C63)-COUNTIF($C:$C,C63)&gt;0),"CONFLITO","OK"))</f>
        <v>OK</v>
      </c>
      <c r="H63" t="s">
        <v>485</v>
      </c>
      <c r="I63" t="s">
        <v>460</v>
      </c>
      <c r="J63" t="s">
        <v>476</v>
      </c>
    </row>
    <row r="64" spans="1:12" x14ac:dyDescent="0.25">
      <c r="A64" t="s">
        <v>357</v>
      </c>
      <c r="B64" t="s">
        <v>14</v>
      </c>
      <c r="C64" t="s">
        <v>457</v>
      </c>
      <c r="D64" t="s">
        <v>358</v>
      </c>
      <c r="E64">
        <v>0</v>
      </c>
      <c r="F64" t="str">
        <f>IF(C64="","",IF(OR(COUNTIF($C:$C,C64)&gt;1,COUNTIF(Prensa!C:C,C64)+COUNTIF(Carga!C:C,C64)+COUNTIF(Escolha41!C:C,C64)+COUNTIF(Escolha43!C:C,C64)-COUNTIF($C:$C,C64)&gt;0),"CONFLITO","OK"))</f>
        <v>OK</v>
      </c>
      <c r="H64" t="s">
        <v>486</v>
      </c>
      <c r="I64" t="s">
        <v>460</v>
      </c>
      <c r="J64" t="s">
        <v>477</v>
      </c>
    </row>
    <row r="65" spans="1:10" x14ac:dyDescent="0.25">
      <c r="A65" t="s">
        <v>356</v>
      </c>
      <c r="B65" t="s">
        <v>14</v>
      </c>
      <c r="C65" t="s">
        <v>458</v>
      </c>
      <c r="D65" t="s">
        <v>356</v>
      </c>
      <c r="E65">
        <v>0</v>
      </c>
      <c r="F65" t="str">
        <f>IF(C65="","",IF(OR(COUNTIF($C:$C,C65)&gt;1,COUNTIF(Prensa!C:C,C65)+COUNTIF(Carga!C:C,C65)+COUNTIF(Escolha41!C:C,C65)+COUNTIF(Escolha43!C:C,C65)-COUNTIF($C:$C,C65)&gt;0),"CONFLITO","OK"))</f>
        <v>OK</v>
      </c>
      <c r="H65" t="s">
        <v>487</v>
      </c>
      <c r="I65" t="s">
        <v>460</v>
      </c>
      <c r="J65" t="s">
        <v>478</v>
      </c>
    </row>
    <row r="66" spans="1:10" x14ac:dyDescent="0.25">
      <c r="A66" t="s">
        <v>43</v>
      </c>
      <c r="B66" t="s">
        <v>14</v>
      </c>
      <c r="C66" t="s">
        <v>39</v>
      </c>
      <c r="D66" t="s">
        <v>40</v>
      </c>
      <c r="E66">
        <v>0</v>
      </c>
      <c r="F66" t="str">
        <f>IF(C66="","",IF(OR(COUNTIF($C:$C,C66)&gt;1,COUNTIF(Prensa!C:C,C66)+COUNTIF(Carga!C:C,C66)+COUNTIF(Escolha41!C:C,C66)+COUNTIF(Escolha43!C:C,C66)-COUNTIF($C:$C,C66)&gt;0),"CONFLITO","OK"))</f>
        <v>OK</v>
      </c>
      <c r="H66" t="s">
        <v>488</v>
      </c>
      <c r="I66" t="s">
        <v>460</v>
      </c>
      <c r="J66" t="s">
        <v>479</v>
      </c>
    </row>
    <row r="67" spans="1:10" x14ac:dyDescent="0.25">
      <c r="A67" t="s">
        <v>355</v>
      </c>
      <c r="B67" t="s">
        <v>14</v>
      </c>
      <c r="C67" t="s">
        <v>442</v>
      </c>
      <c r="D67" t="s">
        <v>355</v>
      </c>
      <c r="E67">
        <v>0</v>
      </c>
      <c r="F67" t="str">
        <f>IF(C67="","",IF(OR(COUNTIF($C:$C,C67)&gt;1,COUNTIF(Prensa!C:C,C67)+COUNTIF(Carga!C:C,C67)+COUNTIF(Escolha41!C:C,C67)+COUNTIF(Escolha43!C:C,C67)-COUNTIF($C:$C,C67)&gt;0),"CONFLITO","OK"))</f>
        <v>OK</v>
      </c>
      <c r="H67" t="s">
        <v>489</v>
      </c>
      <c r="I67" t="s">
        <v>460</v>
      </c>
      <c r="J67" t="s">
        <v>174</v>
      </c>
    </row>
    <row r="68" spans="1:10" x14ac:dyDescent="0.25">
      <c r="A68" t="s">
        <v>354</v>
      </c>
      <c r="B68" t="s">
        <v>14</v>
      </c>
      <c r="C68" t="s">
        <v>443</v>
      </c>
      <c r="D68" t="s">
        <v>354</v>
      </c>
      <c r="E68">
        <v>0</v>
      </c>
      <c r="F68" t="str">
        <f>IF(C68="","",IF(OR(COUNTIF($C:$C,C68)&gt;1,COUNTIF(Prensa!C:C,C68)+COUNTIF(Carga!C:C,C68)+COUNTIF(Escolha41!C:C,C68)+COUNTIF(Escolha43!C:C,C68)-COUNTIF($C:$C,C68)&gt;0),"CONFLITO","OK"))</f>
        <v>OK</v>
      </c>
      <c r="H68" t="s">
        <v>480</v>
      </c>
      <c r="I68" t="s">
        <v>460</v>
      </c>
      <c r="J68" t="s">
        <v>490</v>
      </c>
    </row>
    <row r="69" spans="1:10" x14ac:dyDescent="0.25">
      <c r="A69" t="s">
        <v>352</v>
      </c>
      <c r="B69" t="s">
        <v>14</v>
      </c>
      <c r="C69" t="s">
        <v>444</v>
      </c>
      <c r="D69" t="s">
        <v>353</v>
      </c>
      <c r="E69">
        <v>0</v>
      </c>
      <c r="F69" t="str">
        <f>IF(C69="","",IF(OR(COUNTIF($C:$C,C69)&gt;1,COUNTIF(Prensa!C:C,C69)+COUNTIF(Carga!C:C,C69)+COUNTIF(Escolha41!C:C,C69)+COUNTIF(Escolha43!C:C,C69)-COUNTIF($C:$C,C69)&gt;0),"CONFLITO","OK"))</f>
        <v>OK</v>
      </c>
      <c r="H69" t="s">
        <v>481</v>
      </c>
      <c r="I69" t="s">
        <v>460</v>
      </c>
      <c r="J69" t="s">
        <v>491</v>
      </c>
    </row>
    <row r="70" spans="1:10" x14ac:dyDescent="0.25">
      <c r="A70" t="s">
        <v>350</v>
      </c>
      <c r="B70" t="s">
        <v>14</v>
      </c>
      <c r="C70" t="s">
        <v>445</v>
      </c>
      <c r="D70" t="s">
        <v>351</v>
      </c>
      <c r="E70">
        <v>0</v>
      </c>
      <c r="F70" t="str">
        <f>IF(C70="","",IF(OR(COUNTIF($C:$C,C70)&gt;1,COUNTIF(Prensa!C:C,C70)+COUNTIF(Carga!C:C,C70)+COUNTIF(Escolha41!C:C,C70)+COUNTIF(Escolha43!C:C,C70)-COUNTIF($C:$C,C70)&gt;0),"CONFLITO","OK"))</f>
        <v>OK</v>
      </c>
      <c r="H70" t="s">
        <v>482</v>
      </c>
      <c r="I70" t="s">
        <v>460</v>
      </c>
      <c r="J70" t="s">
        <v>492</v>
      </c>
    </row>
    <row r="71" spans="1:10" x14ac:dyDescent="0.25">
      <c r="A71" t="s">
        <v>329</v>
      </c>
      <c r="B71" t="s">
        <v>14</v>
      </c>
      <c r="C71" t="s">
        <v>446</v>
      </c>
      <c r="D71" t="s">
        <v>347</v>
      </c>
      <c r="E71">
        <v>0</v>
      </c>
      <c r="F71" t="str">
        <f>IF(C71="","",IF(OR(COUNTIF($C:$C,C71)&gt;1,COUNTIF(Prensa!C:C,C71)+COUNTIF(Carga!C:C,C71)+COUNTIF(Escolha41!C:C,C71)+COUNTIF(Escolha43!C:C,C71)-COUNTIF($C:$C,C71)&gt;0),"CONFLITO","OK"))</f>
        <v>OK</v>
      </c>
      <c r="H71" t="s">
        <v>483</v>
      </c>
      <c r="I71" t="s">
        <v>460</v>
      </c>
      <c r="J71" t="s">
        <v>493</v>
      </c>
    </row>
    <row r="72" spans="1:10" x14ac:dyDescent="0.25">
      <c r="A72" t="s">
        <v>348</v>
      </c>
      <c r="B72" t="s">
        <v>14</v>
      </c>
      <c r="C72" t="s">
        <v>447</v>
      </c>
      <c r="D72" t="s">
        <v>349</v>
      </c>
      <c r="E72">
        <v>0</v>
      </c>
      <c r="F72" t="str">
        <f>IF(C72="","",IF(OR(COUNTIF($C:$C,C72)&gt;1,COUNTIF(Prensa!C:C,C72)+COUNTIF(Carga!C:C,C72)+COUNTIF(Escolha41!C:C,C72)+COUNTIF(Escolha43!C:C,C72)-COUNTIF($C:$C,C72)&gt;0),"CONFLITO","OK"))</f>
        <v>OK</v>
      </c>
      <c r="H72" t="s">
        <v>484</v>
      </c>
      <c r="I72" t="s">
        <v>460</v>
      </c>
      <c r="J72" t="s">
        <v>466</v>
      </c>
    </row>
    <row r="73" spans="1:10" x14ac:dyDescent="0.25">
      <c r="A73" t="s">
        <v>346</v>
      </c>
      <c r="B73" t="s">
        <v>14</v>
      </c>
      <c r="C73" t="s">
        <v>448</v>
      </c>
      <c r="D73" t="s">
        <v>347</v>
      </c>
      <c r="E73">
        <v>0</v>
      </c>
      <c r="F73" t="str">
        <f>IF(C73="","",IF(OR(COUNTIF($C:$C,C73)&gt;1,COUNTIF(Prensa!C:C,C73)+COUNTIF(Carga!C:C,C73)+COUNTIF(Escolha41!C:C,C73)+COUNTIF(Escolha43!C:C,C73)-COUNTIF($C:$C,C73)&gt;0),"CONFLITO","OK"))</f>
        <v>OK</v>
      </c>
      <c r="H73" t="s">
        <v>499</v>
      </c>
      <c r="I73" t="s">
        <v>460</v>
      </c>
      <c r="J73" t="s">
        <v>494</v>
      </c>
    </row>
    <row r="74" spans="1:10" x14ac:dyDescent="0.25">
      <c r="A74" t="s">
        <v>48</v>
      </c>
      <c r="B74" t="s">
        <v>14</v>
      </c>
      <c r="C74" t="s">
        <v>50</v>
      </c>
      <c r="D74" t="s">
        <v>40</v>
      </c>
      <c r="E74">
        <v>0</v>
      </c>
      <c r="F74" t="str">
        <f>IF(C74="","",IF(OR(COUNTIF($C:$C,C74)&gt;1,COUNTIF(Prensa!C:C,C74)+COUNTIF(Carga!C:C,C74)+COUNTIF(Escolha41!C:C,C74)+COUNTIF(Escolha43!C:C,C74)-COUNTIF($C:$C,C74)&gt;0),"CONFLITO","OK"))</f>
        <v>OK</v>
      </c>
      <c r="H74" t="s">
        <v>500</v>
      </c>
      <c r="I74" t="s">
        <v>460</v>
      </c>
      <c r="J74" t="s">
        <v>495</v>
      </c>
    </row>
    <row r="75" spans="1:10" x14ac:dyDescent="0.25">
      <c r="A75" t="s">
        <v>344</v>
      </c>
      <c r="B75" t="s">
        <v>1</v>
      </c>
      <c r="C75" t="s">
        <v>179</v>
      </c>
      <c r="D75" t="s">
        <v>345</v>
      </c>
      <c r="E75">
        <v>0</v>
      </c>
      <c r="F75" t="str">
        <f>IF(C75="","",IF(OR(COUNTIF($C:$C,C75)&gt;1,COUNTIF(Prensa!C:C,C75)+COUNTIF(Carga!C:C,C75)+COUNTIF(Escolha41!C:C,C75)+COUNTIF(Escolha43!C:C,C75)-COUNTIF($C:$C,C75)&gt;0),"CONFLITO","OK"))</f>
        <v>OK</v>
      </c>
      <c r="H75" t="s">
        <v>501</v>
      </c>
      <c r="I75" t="s">
        <v>460</v>
      </c>
      <c r="J75" t="s">
        <v>496</v>
      </c>
    </row>
    <row r="76" spans="1:10" x14ac:dyDescent="0.25">
      <c r="A76" t="s">
        <v>342</v>
      </c>
      <c r="B76" t="s">
        <v>1</v>
      </c>
      <c r="C76" t="s">
        <v>182</v>
      </c>
      <c r="D76" t="s">
        <v>343</v>
      </c>
      <c r="E76">
        <v>0</v>
      </c>
      <c r="F76" t="str">
        <f>IF(C76="","",IF(OR(COUNTIF($C:$C,C76)&gt;1,COUNTIF(Prensa!C:C,C76)+COUNTIF(Carga!C:C,C76)+COUNTIF(Escolha41!C:C,C76)+COUNTIF(Escolha43!C:C,C76)-COUNTIF($C:$C,C76)&gt;0),"CONFLITO","OK"))</f>
        <v>OK</v>
      </c>
      <c r="H76" t="s">
        <v>502</v>
      </c>
      <c r="I76" t="s">
        <v>460</v>
      </c>
      <c r="J76" t="s">
        <v>497</v>
      </c>
    </row>
    <row r="77" spans="1:10" x14ac:dyDescent="0.25">
      <c r="A77" t="s">
        <v>340</v>
      </c>
      <c r="B77" t="s">
        <v>1</v>
      </c>
      <c r="C77" t="s">
        <v>184</v>
      </c>
      <c r="D77" t="s">
        <v>341</v>
      </c>
      <c r="E77">
        <v>0</v>
      </c>
      <c r="F77" t="str">
        <f>IF(C77="","",IF(OR(COUNTIF($C:$C,C77)&gt;1,COUNTIF(Prensa!C:C,C77)+COUNTIF(Carga!C:C,C77)+COUNTIF(Escolha41!C:C,C77)+COUNTIF(Escolha43!C:C,C77)-COUNTIF($C:$C,C77)&gt;0),"CONFLITO","OK"))</f>
        <v>OK</v>
      </c>
      <c r="H77" t="s">
        <v>498</v>
      </c>
      <c r="I77" t="s">
        <v>460</v>
      </c>
      <c r="J77" t="s">
        <v>503</v>
      </c>
    </row>
    <row r="78" spans="1:10" x14ac:dyDescent="0.25">
      <c r="A78" t="s">
        <v>338</v>
      </c>
      <c r="B78" t="s">
        <v>1</v>
      </c>
      <c r="C78" t="s">
        <v>187</v>
      </c>
      <c r="D78" t="s">
        <v>339</v>
      </c>
      <c r="E78">
        <v>0</v>
      </c>
      <c r="F78" t="str">
        <f>IF(C78="","",IF(OR(COUNTIF($C:$C,C78)&gt;1,COUNTIF(Prensa!C:C,C78)+COUNTIF(Carga!C:C,C78)+COUNTIF(Escolha41!C:C,C78)+COUNTIF(Escolha43!C:C,C78)-COUNTIF($C:$C,C78)&gt;0),"CONFLITO","OK"))</f>
        <v>OK</v>
      </c>
      <c r="H78" t="s">
        <v>507</v>
      </c>
      <c r="I78" t="s">
        <v>460</v>
      </c>
      <c r="J78" t="s">
        <v>504</v>
      </c>
    </row>
    <row r="79" spans="1:10" x14ac:dyDescent="0.25">
      <c r="A79" t="s">
        <v>337</v>
      </c>
      <c r="B79" t="s">
        <v>1</v>
      </c>
      <c r="C79" t="s">
        <v>336</v>
      </c>
      <c r="D79" t="s">
        <v>29</v>
      </c>
      <c r="E79">
        <v>0</v>
      </c>
      <c r="F79" t="str">
        <f>IF(C79="","",IF(OR(COUNTIF($C:$C,C79)&gt;1,COUNTIF(Prensa!C:C,C79)+COUNTIF(Carga!C:C,C79)+COUNTIF(Escolha41!C:C,C79)+COUNTIF(Escolha43!C:C,C79)-COUNTIF($C:$C,C79)&gt;0),"CONFLITO","OK"))</f>
        <v>OK</v>
      </c>
      <c r="H79" t="s">
        <v>508</v>
      </c>
      <c r="I79" t="s">
        <v>460</v>
      </c>
      <c r="J79" t="s">
        <v>505</v>
      </c>
    </row>
    <row r="80" spans="1:10" x14ac:dyDescent="0.25">
      <c r="A80" t="s">
        <v>27</v>
      </c>
      <c r="B80" t="s">
        <v>1</v>
      </c>
      <c r="C80" t="s">
        <v>28</v>
      </c>
      <c r="D80" t="s">
        <v>29</v>
      </c>
      <c r="E80">
        <v>0</v>
      </c>
      <c r="F80" t="str">
        <f>IF(C80="","",IF(OR(COUNTIF($C:$C,C80)&gt;1,COUNTIF(Prensa!C:C,C80)+COUNTIF(Carga!C:C,C80)+COUNTIF(Escolha41!C:C,C80)+COUNTIF(Escolha43!C:C,C80)-COUNTIF($C:$C,C80)&gt;0),"CONFLITO","OK"))</f>
        <v>OK</v>
      </c>
      <c r="H80" t="s">
        <v>509</v>
      </c>
      <c r="I80" t="s">
        <v>460</v>
      </c>
      <c r="J80" t="s">
        <v>506</v>
      </c>
    </row>
    <row r="81" spans="1:10" x14ac:dyDescent="0.25">
      <c r="A81" t="s">
        <v>30</v>
      </c>
      <c r="B81" t="s">
        <v>1</v>
      </c>
      <c r="C81" t="s">
        <v>31</v>
      </c>
      <c r="D81" t="s">
        <v>29</v>
      </c>
      <c r="E81">
        <v>0</v>
      </c>
      <c r="F81" t="str">
        <f>IF(C81="","",IF(OR(COUNTIF($C:$C,C81)&gt;1,COUNTIF(Prensa!C:C,C81)+COUNTIF(Carga!C:C,C81)+COUNTIF(Escolha41!C:C,C81)+COUNTIF(Escolha43!C:C,C81)-COUNTIF($C:$C,C81)&gt;0),"CONFLITO","OK"))</f>
        <v>OK</v>
      </c>
      <c r="H81" t="s">
        <v>498</v>
      </c>
      <c r="I81" t="s">
        <v>460</v>
      </c>
      <c r="J81" t="s">
        <v>510</v>
      </c>
    </row>
    <row r="82" spans="1:10" x14ac:dyDescent="0.25">
      <c r="A82" t="s">
        <v>34</v>
      </c>
      <c r="B82" t="s">
        <v>1</v>
      </c>
      <c r="C82" t="s">
        <v>452</v>
      </c>
      <c r="D82" t="s">
        <v>33</v>
      </c>
      <c r="E82">
        <v>0</v>
      </c>
      <c r="F82" t="str">
        <f>IF(C82="","",IF(OR(COUNTIF($C:$C,C82)&gt;1,COUNTIF(Prensa!C:C,C82)+COUNTIF(Carga!C:C,C82)+COUNTIF(Escolha41!C:C,C82)+COUNTIF(Escolha43!C:C,C82)-COUNTIF($C:$C,C82)&gt;0),"CONFLITO","OK"))</f>
        <v>OK</v>
      </c>
      <c r="H82" t="s">
        <v>507</v>
      </c>
      <c r="I82" t="s">
        <v>460</v>
      </c>
      <c r="J82" t="s">
        <v>511</v>
      </c>
    </row>
    <row r="83" spans="1:10" x14ac:dyDescent="0.25">
      <c r="A83" t="s">
        <v>32</v>
      </c>
      <c r="B83" t="s">
        <v>1</v>
      </c>
      <c r="C83" t="s">
        <v>453</v>
      </c>
      <c r="D83" t="s">
        <v>33</v>
      </c>
      <c r="E83">
        <v>0</v>
      </c>
      <c r="F83" t="str">
        <f>IF(C83="","",IF(OR(COUNTIF($C:$C,C83)&gt;1,COUNTIF(Prensa!C:C,C83)+COUNTIF(Carga!C:C,C83)+COUNTIF(Escolha41!C:C,C83)+COUNTIF(Escolha43!C:C,C83)-COUNTIF($C:$C,C83)&gt;0),"CONFLITO","OK"))</f>
        <v>OK</v>
      </c>
      <c r="H83" t="s">
        <v>508</v>
      </c>
      <c r="I83" t="s">
        <v>460</v>
      </c>
      <c r="J83" t="s">
        <v>512</v>
      </c>
    </row>
    <row r="84" spans="1:10" x14ac:dyDescent="0.25">
      <c r="A84" t="s">
        <v>35</v>
      </c>
      <c r="B84" t="s">
        <v>1</v>
      </c>
      <c r="C84" t="s">
        <v>454</v>
      </c>
      <c r="D84" t="s">
        <v>33</v>
      </c>
      <c r="E84">
        <v>0</v>
      </c>
      <c r="F84" t="str">
        <f>IF(C84="","",IF(OR(COUNTIF($C:$C,C84)&gt;1,COUNTIF(Prensa!C:C,C84)+COUNTIF(Carga!C:C,C84)+COUNTIF(Escolha41!C:C,C84)+COUNTIF(Escolha43!C:C,C84)-COUNTIF($C:$C,C84)&gt;0),"CONFLITO","OK"))</f>
        <v>OK</v>
      </c>
      <c r="H84" t="s">
        <v>509</v>
      </c>
      <c r="I84" t="s">
        <v>460</v>
      </c>
      <c r="J84" t="s">
        <v>513</v>
      </c>
    </row>
  </sheetData>
  <sortState xmlns:xlrd2="http://schemas.microsoft.com/office/spreadsheetml/2017/richdata2" ref="A2:E84">
    <sortCondition ref="C2:C84"/>
  </sortState>
  <mergeCells count="2">
    <mergeCell ref="H1:L1"/>
    <mergeCell ref="A1:E1"/>
  </mergeCells>
  <conditionalFormatting sqref="C2:C85">
    <cfRule type="expression" dxfId="11" priority="1">
      <formula>$F2="OK"</formula>
    </cfRule>
    <cfRule type="expression" dxfId="10" priority="2">
      <formula>$F2="CONFLITO"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3"/>
  <sheetViews>
    <sheetView topLeftCell="A83" workbookViewId="0">
      <selection sqref="A1:E92"/>
    </sheetView>
  </sheetViews>
  <sheetFormatPr defaultRowHeight="15" x14ac:dyDescent="0.25"/>
  <cols>
    <col min="1" max="1" width="25.140625" bestFit="1" customWidth="1"/>
    <col min="2" max="2" width="9.42578125" bestFit="1" customWidth="1"/>
    <col min="3" max="3" width="12.7109375" bestFit="1" customWidth="1"/>
    <col min="4" max="4" width="42.7109375" bestFit="1" customWidth="1"/>
    <col min="6" max="6" width="12.85546875" customWidth="1"/>
    <col min="7" max="7" width="25.140625" bestFit="1" customWidth="1"/>
    <col min="8" max="8" width="9.42578125" bestFit="1" customWidth="1"/>
    <col min="9" max="9" width="14.7109375" customWidth="1"/>
    <col min="10" max="10" width="42.7109375" bestFit="1" customWidth="1"/>
  </cols>
  <sheetData>
    <row r="1" spans="1:11" x14ac:dyDescent="0.25">
      <c r="A1" t="s">
        <v>400</v>
      </c>
      <c r="B1" t="s">
        <v>14</v>
      </c>
      <c r="C1" t="s">
        <v>544</v>
      </c>
      <c r="D1" t="s">
        <v>354</v>
      </c>
      <c r="E1">
        <v>0</v>
      </c>
      <c r="F1" t="str">
        <f>IF(C1="","",IF(OR(COUNTIF($C:$C,C1)&gt;1,COUNTIF(Prensa!C:C,C1)+COUNTIF(Carga!C:C,C1)+COUNTIF(Escolha41!C:C,C1)+COUNTIF(Escolha43!C:C,C1)-COUNTIF($C:$C,C1)&gt;0),"CONFLITO","OK"))</f>
        <v>OK</v>
      </c>
      <c r="I1" t="s">
        <v>530</v>
      </c>
    </row>
    <row r="2" spans="1:11" x14ac:dyDescent="0.25">
      <c r="A2" t="s">
        <v>398</v>
      </c>
      <c r="B2" t="s">
        <v>14</v>
      </c>
      <c r="C2" t="s">
        <v>545</v>
      </c>
      <c r="D2" t="s">
        <v>356</v>
      </c>
      <c r="E2">
        <v>0</v>
      </c>
      <c r="F2" t="str">
        <f>IF(C2="","",IF(OR(COUNTIF($C:$C,C2)&gt;1,COUNTIF(Prensa!C:C,C2)+COUNTIF(Carga!C:C,C2)+COUNTIF(Escolha41!C:C,C2)+COUNTIF(Escolha43!C:C,C2)-COUNTIF($C:$C,C2)&gt;0),"CONFLITO","OK"))</f>
        <v>OK</v>
      </c>
      <c r="G2" t="s">
        <v>173</v>
      </c>
      <c r="H2" t="s">
        <v>14</v>
      </c>
      <c r="I2" t="s">
        <v>174</v>
      </c>
      <c r="J2" t="s">
        <v>397</v>
      </c>
      <c r="K2">
        <v>0</v>
      </c>
    </row>
    <row r="3" spans="1:11" x14ac:dyDescent="0.25">
      <c r="A3" t="s">
        <v>399</v>
      </c>
      <c r="B3" t="s">
        <v>14</v>
      </c>
      <c r="C3" t="s">
        <v>546</v>
      </c>
      <c r="D3" t="s">
        <v>355</v>
      </c>
      <c r="E3">
        <v>0</v>
      </c>
      <c r="F3" t="str">
        <f>IF(C3="","",IF(OR(COUNTIF($C:$C,C3)&gt;1,COUNTIF(Prensa!C:C,C3)+COUNTIF(Carga!C:C,C3)+COUNTIF(Escolha41!C:C,C3)+COUNTIF(Escolha43!C:C,C3)-COUNTIF($C:$C,C3)&gt;0),"CONFLITO","OK"))</f>
        <v>OK</v>
      </c>
      <c r="G3" t="s">
        <v>386</v>
      </c>
      <c r="H3" t="s">
        <v>14</v>
      </c>
      <c r="I3" t="s">
        <v>526</v>
      </c>
      <c r="J3" t="s">
        <v>527</v>
      </c>
      <c r="K3">
        <v>0</v>
      </c>
    </row>
    <row r="4" spans="1:11" x14ac:dyDescent="0.25">
      <c r="A4" t="s">
        <v>158</v>
      </c>
      <c r="B4" t="s">
        <v>14</v>
      </c>
      <c r="C4" t="s">
        <v>547</v>
      </c>
      <c r="D4" t="s">
        <v>160</v>
      </c>
      <c r="E4">
        <v>0</v>
      </c>
      <c r="F4" t="str">
        <f>IF(C4="","",IF(OR(COUNTIF($C:$C,C4)&gt;1,COUNTIF(Prensa!C:C,C4)+COUNTIF(Carga!C:C,C4)+COUNTIF(Escolha41!C:C,C4)+COUNTIF(Escolha43!C:C,C4)-COUNTIF($C:$C,C4)&gt;0),"CONFLITO","OK"))</f>
        <v>OK</v>
      </c>
      <c r="G4" t="s">
        <v>158</v>
      </c>
      <c r="H4" t="s">
        <v>14</v>
      </c>
      <c r="I4" t="s">
        <v>159</v>
      </c>
      <c r="J4" t="s">
        <v>160</v>
      </c>
      <c r="K4">
        <v>0</v>
      </c>
    </row>
    <row r="5" spans="1:11" x14ac:dyDescent="0.25">
      <c r="A5" t="s">
        <v>386</v>
      </c>
      <c r="B5" t="s">
        <v>14</v>
      </c>
      <c r="C5" t="s">
        <v>548</v>
      </c>
      <c r="D5" t="s">
        <v>160</v>
      </c>
      <c r="E5">
        <v>0</v>
      </c>
      <c r="F5" t="str">
        <f>IF(C5="","",IF(OR(COUNTIF($C:$C,C5)&gt;1,COUNTIF(Prensa!C:C,C5)+COUNTIF(Carga!C:C,C5)+COUNTIF(Escolha41!C:C,C5)+COUNTIF(Escolha43!C:C,C5)-COUNTIF($C:$C,C5)&gt;0),"CONFLITO","OK"))</f>
        <v>OK</v>
      </c>
      <c r="G5" t="s">
        <v>384</v>
      </c>
      <c r="H5" t="s">
        <v>14</v>
      </c>
      <c r="I5" t="s">
        <v>316</v>
      </c>
      <c r="J5" t="s">
        <v>385</v>
      </c>
      <c r="K5">
        <v>0</v>
      </c>
    </row>
    <row r="6" spans="1:11" x14ac:dyDescent="0.25">
      <c r="A6" t="s">
        <v>384</v>
      </c>
      <c r="B6" t="s">
        <v>14</v>
      </c>
      <c r="C6" t="s">
        <v>549</v>
      </c>
      <c r="D6" t="s">
        <v>385</v>
      </c>
      <c r="E6">
        <v>0</v>
      </c>
      <c r="F6" t="str">
        <f>IF(C6="","",IF(OR(COUNTIF($C:$C,C6)&gt;1,COUNTIF(Prensa!C:C,C6)+COUNTIF(Carga!C:C,C6)+COUNTIF(Escolha41!C:C,C6)+COUNTIF(Escolha43!C:C,C6)-COUNTIF($C:$C,C6)&gt;0),"CONFLITO","OK"))</f>
        <v>OK</v>
      </c>
      <c r="G6" t="s">
        <v>164</v>
      </c>
      <c r="H6" t="s">
        <v>14</v>
      </c>
      <c r="I6" t="s">
        <v>165</v>
      </c>
      <c r="J6" t="s">
        <v>166</v>
      </c>
      <c r="K6">
        <v>0</v>
      </c>
    </row>
    <row r="7" spans="1:11" x14ac:dyDescent="0.25">
      <c r="A7" t="s">
        <v>164</v>
      </c>
      <c r="B7" t="s">
        <v>14</v>
      </c>
      <c r="C7" t="s">
        <v>550</v>
      </c>
      <c r="D7" t="s">
        <v>166</v>
      </c>
      <c r="E7">
        <v>0</v>
      </c>
      <c r="F7" t="str">
        <f>IF(C7="","",IF(OR(COUNTIF($C:$C,C7)&gt;1,COUNTIF(Prensa!C:C,C7)+COUNTIF(Carga!C:C,C7)+COUNTIF(Escolha41!C:C,C7)+COUNTIF(Escolha43!C:C,C7)-COUNTIF($C:$C,C7)&gt;0),"CONFLITO","OK"))</f>
        <v>OK</v>
      </c>
      <c r="G7" t="s">
        <v>69</v>
      </c>
      <c r="H7" t="s">
        <v>1</v>
      </c>
      <c r="I7" t="s">
        <v>295</v>
      </c>
      <c r="J7" t="s">
        <v>71</v>
      </c>
      <c r="K7">
        <v>0</v>
      </c>
    </row>
    <row r="8" spans="1:11" x14ac:dyDescent="0.25">
      <c r="A8" t="s">
        <v>69</v>
      </c>
      <c r="B8" t="s">
        <v>1</v>
      </c>
      <c r="C8" t="s">
        <v>70</v>
      </c>
      <c r="D8" t="s">
        <v>71</v>
      </c>
      <c r="E8">
        <v>0</v>
      </c>
      <c r="F8" t="str">
        <f>IF(C8="","",IF(OR(COUNTIF($C:$C,C8)&gt;1,COUNTIF(Prensa!C:C,C8)+COUNTIF(Carga!C:C,C8)+COUNTIF(Escolha41!C:C,C8)+COUNTIF(Escolha43!C:C,C8)-COUNTIF($C:$C,C8)&gt;0),"CONFLITO","OK"))</f>
        <v>OK</v>
      </c>
      <c r="G8" t="s">
        <v>81</v>
      </c>
      <c r="H8" t="s">
        <v>1</v>
      </c>
      <c r="I8" t="s">
        <v>514</v>
      </c>
      <c r="J8" t="s">
        <v>83</v>
      </c>
      <c r="K8">
        <v>0</v>
      </c>
    </row>
    <row r="9" spans="1:11" x14ac:dyDescent="0.25">
      <c r="A9" t="s">
        <v>81</v>
      </c>
      <c r="B9" t="s">
        <v>1</v>
      </c>
      <c r="C9" t="s">
        <v>82</v>
      </c>
      <c r="D9" t="s">
        <v>83</v>
      </c>
      <c r="E9">
        <v>0</v>
      </c>
      <c r="F9" t="str">
        <f>IF(C9="","",IF(OR(COUNTIF($C:$C,C9)&gt;1,COUNTIF(Prensa!C:C,C9)+COUNTIF(Carga!C:C,C9)+COUNTIF(Escolha41!C:C,C9)+COUNTIF(Escolha43!C:C,C9)-COUNTIF($C:$C,C9)&gt;0),"CONFLITO","OK"))</f>
        <v>OK</v>
      </c>
      <c r="G9" t="s">
        <v>75</v>
      </c>
      <c r="H9" t="s">
        <v>1</v>
      </c>
      <c r="I9" t="s">
        <v>300</v>
      </c>
      <c r="J9" t="s">
        <v>77</v>
      </c>
      <c r="K9">
        <v>0</v>
      </c>
    </row>
    <row r="10" spans="1:11" x14ac:dyDescent="0.25">
      <c r="A10" t="s">
        <v>381</v>
      </c>
      <c r="B10" t="s">
        <v>14</v>
      </c>
      <c r="C10" t="s">
        <v>551</v>
      </c>
      <c r="D10" t="s">
        <v>382</v>
      </c>
      <c r="E10">
        <v>0</v>
      </c>
      <c r="F10" t="str">
        <f>IF(C10="","",IF(OR(COUNTIF($C:$C,C10)&gt;1,COUNTIF(Prensa!C:C,C10)+COUNTIF(Carga!C:C,C10)+COUNTIF(Escolha41!C:C,C10)+COUNTIF(Escolha43!C:C,C10)-COUNTIF($C:$C,C10)&gt;0),"CONFLITO","OK"))</f>
        <v>OK</v>
      </c>
      <c r="G10" t="s">
        <v>78</v>
      </c>
      <c r="H10" t="s">
        <v>1</v>
      </c>
      <c r="I10" t="s">
        <v>303</v>
      </c>
      <c r="J10" t="s">
        <v>80</v>
      </c>
      <c r="K10">
        <v>0</v>
      </c>
    </row>
    <row r="11" spans="1:11" x14ac:dyDescent="0.25">
      <c r="A11" t="s">
        <v>152</v>
      </c>
      <c r="B11" t="s">
        <v>14</v>
      </c>
      <c r="C11" t="s">
        <v>153</v>
      </c>
      <c r="D11" t="s">
        <v>154</v>
      </c>
      <c r="E11">
        <v>0</v>
      </c>
      <c r="F11" t="str">
        <f>IF(C11="","",IF(OR(COUNTIF($C:$C,C11)&gt;1,COUNTIF(Prensa!C:C,C11)+COUNTIF(Carga!C:C,C11)+COUNTIF(Escolha41!C:C,C11)+COUNTIF(Escolha43!C:C,C11)-COUNTIF($C:$C,C11)&gt;0),"CONFLITO","OK"))</f>
        <v>OK</v>
      </c>
      <c r="G11" t="s">
        <v>122</v>
      </c>
      <c r="H11" t="s">
        <v>1</v>
      </c>
      <c r="I11" t="s">
        <v>123</v>
      </c>
      <c r="J11" t="s">
        <v>124</v>
      </c>
      <c r="K11">
        <v>0</v>
      </c>
    </row>
    <row r="12" spans="1:11" x14ac:dyDescent="0.25">
      <c r="A12" t="s">
        <v>87</v>
      </c>
      <c r="B12" t="s">
        <v>1</v>
      </c>
      <c r="C12" t="s">
        <v>88</v>
      </c>
      <c r="D12" t="s">
        <v>89</v>
      </c>
      <c r="E12">
        <v>0</v>
      </c>
      <c r="F12" t="str">
        <f>IF(C12="","",IF(OR(COUNTIF($C:$C,C12)&gt;1,COUNTIF(Prensa!C:C,C12)+COUNTIF(Carga!C:C,C12)+COUNTIF(Escolha41!C:C,C12)+COUNTIF(Escolha43!C:C,C12)-COUNTIF($C:$C,C12)&gt;0),"CONFLITO","OK"))</f>
        <v>OK</v>
      </c>
      <c r="G12" t="s">
        <v>93</v>
      </c>
      <c r="H12" t="s">
        <v>1</v>
      </c>
      <c r="I12" t="s">
        <v>518</v>
      </c>
      <c r="J12" t="s">
        <v>95</v>
      </c>
      <c r="K12">
        <v>0</v>
      </c>
    </row>
    <row r="13" spans="1:11" x14ac:dyDescent="0.25">
      <c r="A13" t="s">
        <v>93</v>
      </c>
      <c r="B13" t="s">
        <v>1</v>
      </c>
      <c r="C13" t="s">
        <v>94</v>
      </c>
      <c r="D13" t="s">
        <v>95</v>
      </c>
      <c r="E13">
        <v>0</v>
      </c>
      <c r="F13" t="str">
        <f>IF(C13="","",IF(OR(COUNTIF($C:$C,C13)&gt;1,COUNTIF(Prensa!C:C,C13)+COUNTIF(Carga!C:C,C13)+COUNTIF(Escolha41!C:C,C13)+COUNTIF(Escolha43!C:C,C13)-COUNTIF($C:$C,C13)&gt;0),"CONFLITO","OK"))</f>
        <v>OK</v>
      </c>
      <c r="G13" t="s">
        <v>152</v>
      </c>
      <c r="H13" t="s">
        <v>14</v>
      </c>
      <c r="I13" t="s">
        <v>153</v>
      </c>
      <c r="J13" t="s">
        <v>154</v>
      </c>
      <c r="K13">
        <v>0</v>
      </c>
    </row>
    <row r="14" spans="1:11" x14ac:dyDescent="0.25">
      <c r="A14" t="s">
        <v>101</v>
      </c>
      <c r="B14" t="s">
        <v>1</v>
      </c>
      <c r="C14" t="s">
        <v>102</v>
      </c>
      <c r="D14" t="s">
        <v>103</v>
      </c>
      <c r="E14">
        <v>0</v>
      </c>
      <c r="F14" t="str">
        <f>IF(C14="","",IF(OR(COUNTIF($C:$C,C14)&gt;1,COUNTIF(Prensa!C:C,C14)+COUNTIF(Carga!C:C,C14)+COUNTIF(Escolha41!C:C,C14)+COUNTIF(Escolha43!C:C,C14)-COUNTIF($C:$C,C14)&gt;0),"CONFLITO","OK"))</f>
        <v>OK</v>
      </c>
      <c r="G14" t="s">
        <v>98</v>
      </c>
      <c r="H14" t="s">
        <v>1</v>
      </c>
      <c r="I14" t="s">
        <v>520</v>
      </c>
      <c r="J14" t="s">
        <v>100</v>
      </c>
      <c r="K14">
        <v>0</v>
      </c>
    </row>
    <row r="15" spans="1:11" x14ac:dyDescent="0.25">
      <c r="A15" t="s">
        <v>75</v>
      </c>
      <c r="B15" t="s">
        <v>1</v>
      </c>
      <c r="C15" t="s">
        <v>76</v>
      </c>
      <c r="D15" t="s">
        <v>77</v>
      </c>
      <c r="E15">
        <v>0</v>
      </c>
      <c r="F15" t="str">
        <f>IF(C15="","",IF(OR(COUNTIF($C:$C,C15)&gt;1,COUNTIF(Prensa!C:C,C15)+COUNTIF(Carga!C:C,C15)+COUNTIF(Escolha41!C:C,C15)+COUNTIF(Escolha43!C:C,C15)-COUNTIF($C:$C,C15)&gt;0),"CONFLITO","OK"))</f>
        <v>OK</v>
      </c>
      <c r="G15" t="s">
        <v>381</v>
      </c>
      <c r="H15" t="s">
        <v>14</v>
      </c>
      <c r="I15" t="s">
        <v>310</v>
      </c>
      <c r="J15" t="s">
        <v>382</v>
      </c>
      <c r="K15">
        <v>0</v>
      </c>
    </row>
    <row r="16" spans="1:11" x14ac:dyDescent="0.25">
      <c r="A16" t="s">
        <v>98</v>
      </c>
      <c r="B16" t="s">
        <v>1</v>
      </c>
      <c r="C16" t="s">
        <v>99</v>
      </c>
      <c r="D16" t="s">
        <v>100</v>
      </c>
      <c r="E16">
        <v>0</v>
      </c>
      <c r="F16" t="str">
        <f>IF(C16="","",IF(OR(COUNTIF($C:$C,C16)&gt;1,COUNTIF(Prensa!C:C,C16)+COUNTIF(Carga!C:C,C16)+COUNTIF(Escolha41!C:C,C16)+COUNTIF(Escolha43!C:C,C16)-COUNTIF($C:$C,C16)&gt;0),"CONFLITO","OK"))</f>
        <v>OK</v>
      </c>
      <c r="G16" t="s">
        <v>87</v>
      </c>
      <c r="H16" t="s">
        <v>1</v>
      </c>
      <c r="I16" t="s">
        <v>516</v>
      </c>
      <c r="J16" t="s">
        <v>89</v>
      </c>
      <c r="K16">
        <v>0</v>
      </c>
    </row>
    <row r="17" spans="1:11" x14ac:dyDescent="0.25">
      <c r="A17" t="s">
        <v>78</v>
      </c>
      <c r="B17" t="s">
        <v>1</v>
      </c>
      <c r="C17" t="s">
        <v>79</v>
      </c>
      <c r="D17" t="s">
        <v>80</v>
      </c>
      <c r="E17">
        <v>0</v>
      </c>
      <c r="F17" t="str">
        <f>IF(C17="","",IF(OR(COUNTIF($C:$C,C17)&gt;1,COUNTIF(Prensa!C:C,C17)+COUNTIF(Carga!C:C,C17)+COUNTIF(Escolha41!C:C,C17)+COUNTIF(Escolha43!C:C,C17)-COUNTIF($C:$C,C17)&gt;0),"CONFLITO","OK"))</f>
        <v>OK</v>
      </c>
      <c r="G17" t="s">
        <v>101</v>
      </c>
      <c r="H17" t="s">
        <v>1</v>
      </c>
      <c r="I17" t="s">
        <v>521</v>
      </c>
      <c r="J17" t="s">
        <v>103</v>
      </c>
      <c r="K17">
        <v>0</v>
      </c>
    </row>
    <row r="18" spans="1:11" x14ac:dyDescent="0.25">
      <c r="A18" t="s">
        <v>104</v>
      </c>
      <c r="B18" t="s">
        <v>1</v>
      </c>
      <c r="C18" t="s">
        <v>105</v>
      </c>
      <c r="D18" t="s">
        <v>106</v>
      </c>
      <c r="E18">
        <v>0</v>
      </c>
      <c r="F18" t="str">
        <f>IF(C18="","",IF(OR(COUNTIF($C:$C,C18)&gt;1,COUNTIF(Prensa!C:C,C18)+COUNTIF(Carga!C:C,C18)+COUNTIF(Escolha41!C:C,C18)+COUNTIF(Escolha43!C:C,C18)-COUNTIF($C:$C,C18)&gt;0),"CONFLITO","OK"))</f>
        <v>OK</v>
      </c>
      <c r="G18" t="s">
        <v>104</v>
      </c>
      <c r="H18" t="s">
        <v>1</v>
      </c>
      <c r="I18" t="s">
        <v>522</v>
      </c>
      <c r="J18" t="s">
        <v>106</v>
      </c>
      <c r="K18">
        <v>0</v>
      </c>
    </row>
    <row r="19" spans="1:11" x14ac:dyDescent="0.25">
      <c r="A19" t="s">
        <v>409</v>
      </c>
      <c r="B19" t="s">
        <v>1</v>
      </c>
      <c r="C19" t="s">
        <v>529</v>
      </c>
      <c r="D19" t="s">
        <v>203</v>
      </c>
      <c r="E19">
        <v>0</v>
      </c>
      <c r="F19" t="str">
        <f>IF(C19="","",IF(OR(COUNTIF($C:$C,C19)&gt;1,COUNTIF(Prensa!C:C,C19)+COUNTIF(Carga!C:C,C19)+COUNTIF(Escolha41!C:C,C19)+COUNTIF(Escolha43!C:C,C19)-COUNTIF($C:$C,C19)&gt;0),"CONFLITO","OK"))</f>
        <v>OK</v>
      </c>
      <c r="G19" t="s">
        <v>199</v>
      </c>
      <c r="H19" t="s">
        <v>1</v>
      </c>
      <c r="I19" t="s">
        <v>200</v>
      </c>
      <c r="J19" t="s">
        <v>201</v>
      </c>
      <c r="K19">
        <v>0</v>
      </c>
    </row>
    <row r="20" spans="1:11" x14ac:dyDescent="0.25">
      <c r="A20" t="s">
        <v>199</v>
      </c>
      <c r="B20" t="s">
        <v>1</v>
      </c>
      <c r="C20" t="s">
        <v>200</v>
      </c>
      <c r="D20" t="s">
        <v>201</v>
      </c>
      <c r="E20">
        <v>0</v>
      </c>
      <c r="F20" t="str">
        <f>IF(C20="","",IF(OR(COUNTIF($C:$C,C20)&gt;1,COUNTIF(Prensa!C:C,C20)+COUNTIF(Carga!C:C,C20)+COUNTIF(Escolha41!C:C,C20)+COUNTIF(Escolha43!C:C,C20)-COUNTIF($C:$C,C20)&gt;0),"CONFLITO","OK"))</f>
        <v>OK</v>
      </c>
      <c r="G20" t="s">
        <v>205</v>
      </c>
      <c r="H20" t="s">
        <v>1</v>
      </c>
      <c r="I20" t="s">
        <v>206</v>
      </c>
      <c r="J20" t="s">
        <v>201</v>
      </c>
      <c r="K20">
        <v>0</v>
      </c>
    </row>
    <row r="21" spans="1:11" x14ac:dyDescent="0.25">
      <c r="A21" t="s">
        <v>214</v>
      </c>
      <c r="B21" t="s">
        <v>1</v>
      </c>
      <c r="C21" t="s">
        <v>215</v>
      </c>
      <c r="D21" t="s">
        <v>216</v>
      </c>
      <c r="E21">
        <v>0</v>
      </c>
      <c r="F21" t="str">
        <f>IF(C21="","",IF(OR(COUNTIF($C:$C,C21)&gt;1,COUNTIF(Prensa!C:C,C21)+COUNTIF(Carga!C:C,C21)+COUNTIF(Escolha41!C:C,C21)+COUNTIF(Escolha43!C:C,C21)-COUNTIF($C:$C,C21)&gt;0),"CONFLITO","OK"))</f>
        <v>OK</v>
      </c>
      <c r="G21" t="s">
        <v>209</v>
      </c>
      <c r="H21" t="s">
        <v>1</v>
      </c>
      <c r="I21" t="s">
        <v>210</v>
      </c>
      <c r="J21" t="s">
        <v>201</v>
      </c>
      <c r="K21">
        <v>0</v>
      </c>
    </row>
    <row r="22" spans="1:11" x14ac:dyDescent="0.25">
      <c r="A22" t="s">
        <v>205</v>
      </c>
      <c r="B22" t="s">
        <v>1</v>
      </c>
      <c r="C22" t="s">
        <v>206</v>
      </c>
      <c r="D22" t="s">
        <v>201</v>
      </c>
      <c r="E22">
        <v>0</v>
      </c>
      <c r="F22" t="str">
        <f>IF(C22="","",IF(OR(COUNTIF($C:$C,C22)&gt;1,COUNTIF(Prensa!C:C,C22)+COUNTIF(Carga!C:C,C22)+COUNTIF(Escolha41!C:C,C22)+COUNTIF(Escolha43!C:C,C22)-COUNTIF($C:$C,C22)&gt;0),"CONFLITO","OK"))</f>
        <v>OK</v>
      </c>
      <c r="G22" t="s">
        <v>409</v>
      </c>
      <c r="H22" t="s">
        <v>1</v>
      </c>
      <c r="I22" t="s">
        <v>529</v>
      </c>
      <c r="J22" t="s">
        <v>203</v>
      </c>
      <c r="K22">
        <v>0</v>
      </c>
    </row>
    <row r="23" spans="1:11" x14ac:dyDescent="0.25">
      <c r="A23" t="s">
        <v>209</v>
      </c>
      <c r="B23" t="s">
        <v>1</v>
      </c>
      <c r="C23" t="s">
        <v>210</v>
      </c>
      <c r="D23" t="s">
        <v>201</v>
      </c>
      <c r="E23">
        <v>0</v>
      </c>
      <c r="F23" t="str">
        <f>IF(C23="","",IF(OR(COUNTIF($C:$C,C23)&gt;1,COUNTIF(Prensa!C:C,C23)+COUNTIF(Carga!C:C,C23)+COUNTIF(Escolha41!C:C,C23)+COUNTIF(Escolha43!C:C,C23)-COUNTIF($C:$C,C23)&gt;0),"CONFLITO","OK"))</f>
        <v>OK</v>
      </c>
      <c r="G23" t="s">
        <v>202</v>
      </c>
      <c r="H23" t="s">
        <v>1</v>
      </c>
      <c r="I23" t="s">
        <v>204</v>
      </c>
      <c r="J23" t="s">
        <v>203</v>
      </c>
      <c r="K23">
        <v>0</v>
      </c>
    </row>
    <row r="24" spans="1:11" x14ac:dyDescent="0.25">
      <c r="A24" t="s">
        <v>202</v>
      </c>
      <c r="B24" t="s">
        <v>1</v>
      </c>
      <c r="C24" t="s">
        <v>204</v>
      </c>
      <c r="D24" t="s">
        <v>203</v>
      </c>
      <c r="E24">
        <v>0</v>
      </c>
      <c r="F24" t="str">
        <f>IF(C24="","",IF(OR(COUNTIF($C:$C,C24)&gt;1,COUNTIF(Prensa!C:C,C24)+COUNTIF(Carga!C:C,C24)+COUNTIF(Escolha41!C:C,C24)+COUNTIF(Escolha43!C:C,C24)-COUNTIF($C:$C,C24)&gt;0),"CONFLITO","OK"))</f>
        <v>OK</v>
      </c>
      <c r="G24" t="s">
        <v>207</v>
      </c>
      <c r="H24" t="s">
        <v>1</v>
      </c>
      <c r="I24" t="s">
        <v>208</v>
      </c>
      <c r="J24" t="s">
        <v>203</v>
      </c>
      <c r="K24">
        <v>0</v>
      </c>
    </row>
    <row r="25" spans="1:11" x14ac:dyDescent="0.25">
      <c r="A25" t="s">
        <v>207</v>
      </c>
      <c r="B25" t="s">
        <v>1</v>
      </c>
      <c r="C25" t="s">
        <v>208</v>
      </c>
      <c r="D25" t="s">
        <v>203</v>
      </c>
      <c r="E25">
        <v>0</v>
      </c>
      <c r="F25" t="str">
        <f>IF(C25="","",IF(OR(COUNTIF($C:$C,C25)&gt;1,COUNTIF(Prensa!C:C,C25)+COUNTIF(Carga!C:C,C25)+COUNTIF(Escolha41!C:C,C25)+COUNTIF(Escolha43!C:C,C25)-COUNTIF($C:$C,C25)&gt;0),"CONFLITO","OK"))</f>
        <v>OK</v>
      </c>
      <c r="G25" t="s">
        <v>214</v>
      </c>
      <c r="H25" t="s">
        <v>1</v>
      </c>
      <c r="I25" t="s">
        <v>215</v>
      </c>
      <c r="J25" t="s">
        <v>216</v>
      </c>
      <c r="K25">
        <v>0</v>
      </c>
    </row>
    <row r="26" spans="1:11" x14ac:dyDescent="0.25">
      <c r="A26" t="s">
        <v>211</v>
      </c>
      <c r="B26" t="s">
        <v>1</v>
      </c>
      <c r="C26" t="s">
        <v>212</v>
      </c>
      <c r="D26" t="s">
        <v>213</v>
      </c>
      <c r="E26">
        <v>0</v>
      </c>
      <c r="F26" t="str">
        <f>IF(C26="","",IF(OR(COUNTIF($C:$C,C26)&gt;1,COUNTIF(Prensa!C:C,C26)+COUNTIF(Carga!C:C,C26)+COUNTIF(Escolha41!C:C,C26)+COUNTIF(Escolha43!C:C,C26)-COUNTIF($C:$C,C26)&gt;0),"CONFLITO","OK"))</f>
        <v>OK</v>
      </c>
      <c r="G26" t="s">
        <v>219</v>
      </c>
      <c r="H26" t="s">
        <v>1</v>
      </c>
      <c r="I26" t="s">
        <v>220</v>
      </c>
      <c r="J26" t="s">
        <v>216</v>
      </c>
      <c r="K26">
        <v>0</v>
      </c>
    </row>
    <row r="27" spans="1:11" x14ac:dyDescent="0.25">
      <c r="A27" t="s">
        <v>219</v>
      </c>
      <c r="B27" t="s">
        <v>1</v>
      </c>
      <c r="C27" t="s">
        <v>220</v>
      </c>
      <c r="D27" t="s">
        <v>216</v>
      </c>
      <c r="E27">
        <v>0</v>
      </c>
      <c r="F27" t="str">
        <f>IF(C27="","",IF(OR(COUNTIF($C:$C,C27)&gt;1,COUNTIF(Prensa!C:C,C27)+COUNTIF(Carga!C:C,C27)+COUNTIF(Escolha41!C:C,C27)+COUNTIF(Escolha43!C:C,C27)-COUNTIF($C:$C,C27)&gt;0),"CONFLITO","OK"))</f>
        <v>OK</v>
      </c>
      <c r="G27" t="s">
        <v>223</v>
      </c>
      <c r="H27" t="s">
        <v>1</v>
      </c>
      <c r="I27" t="s">
        <v>224</v>
      </c>
      <c r="J27" t="s">
        <v>216</v>
      </c>
      <c r="K27">
        <v>0</v>
      </c>
    </row>
    <row r="28" spans="1:11" x14ac:dyDescent="0.25">
      <c r="A28" t="s">
        <v>223</v>
      </c>
      <c r="B28" t="s">
        <v>1</v>
      </c>
      <c r="C28" t="s">
        <v>224</v>
      </c>
      <c r="D28" t="s">
        <v>216</v>
      </c>
      <c r="E28">
        <v>0</v>
      </c>
      <c r="F28" t="str">
        <f>IF(C28="","",IF(OR(COUNTIF($C:$C,C28)&gt;1,COUNTIF(Prensa!C:C,C28)+COUNTIF(Carga!C:C,C28)+COUNTIF(Escolha41!C:C,C28)+COUNTIF(Escolha43!C:C,C28)-COUNTIF($C:$C,C28)&gt;0),"CONFLITO","OK"))</f>
        <v>OK</v>
      </c>
      <c r="G28" t="s">
        <v>211</v>
      </c>
      <c r="H28" t="s">
        <v>1</v>
      </c>
      <c r="I28" t="s">
        <v>212</v>
      </c>
      <c r="J28" t="s">
        <v>213</v>
      </c>
      <c r="K28">
        <v>0</v>
      </c>
    </row>
    <row r="29" spans="1:11" x14ac:dyDescent="0.25">
      <c r="A29" t="s">
        <v>217</v>
      </c>
      <c r="B29" t="s">
        <v>1</v>
      </c>
      <c r="C29" t="s">
        <v>218</v>
      </c>
      <c r="D29" t="s">
        <v>213</v>
      </c>
      <c r="E29">
        <v>0</v>
      </c>
      <c r="F29" t="str">
        <f>IF(C29="","",IF(OR(COUNTIF($C:$C,C29)&gt;1,COUNTIF(Prensa!C:C,C29)+COUNTIF(Carga!C:C,C29)+COUNTIF(Escolha41!C:C,C29)+COUNTIF(Escolha43!C:C,C29)-COUNTIF($C:$C,C29)&gt;0),"CONFLITO","OK"))</f>
        <v>OK</v>
      </c>
      <c r="G29" t="s">
        <v>217</v>
      </c>
      <c r="H29" t="s">
        <v>1</v>
      </c>
      <c r="I29" t="s">
        <v>218</v>
      </c>
      <c r="J29" t="s">
        <v>213</v>
      </c>
      <c r="K29">
        <v>0</v>
      </c>
    </row>
    <row r="30" spans="1:11" x14ac:dyDescent="0.25">
      <c r="A30" t="s">
        <v>221</v>
      </c>
      <c r="B30" t="s">
        <v>1</v>
      </c>
      <c r="C30" t="s">
        <v>222</v>
      </c>
      <c r="D30" t="s">
        <v>213</v>
      </c>
      <c r="E30">
        <v>0</v>
      </c>
      <c r="F30" t="str">
        <f>IF(C30="","",IF(OR(COUNTIF($C:$C,C30)&gt;1,COUNTIF(Prensa!C:C,C30)+COUNTIF(Carga!C:C,C30)+COUNTIF(Escolha41!C:C,C30)+COUNTIF(Escolha43!C:C,C30)-COUNTIF($C:$C,C30)&gt;0),"CONFLITO","OK"))</f>
        <v>OK</v>
      </c>
      <c r="G30" t="s">
        <v>221</v>
      </c>
      <c r="H30" t="s">
        <v>1</v>
      </c>
      <c r="I30" t="s">
        <v>222</v>
      </c>
      <c r="J30" t="s">
        <v>213</v>
      </c>
      <c r="K30">
        <v>0</v>
      </c>
    </row>
    <row r="31" spans="1:11" x14ac:dyDescent="0.25">
      <c r="A31" t="s">
        <v>401</v>
      </c>
      <c r="B31" t="s">
        <v>14</v>
      </c>
      <c r="C31" t="s">
        <v>552</v>
      </c>
      <c r="D31" t="s">
        <v>353</v>
      </c>
      <c r="E31">
        <v>0</v>
      </c>
      <c r="F31" t="str">
        <f>IF(C31="","",IF(OR(COUNTIF($C:$C,C31)&gt;1,COUNTIF(Prensa!C:C,C31)+COUNTIF(Carga!C:C,C31)+COUNTIF(Escolha41!C:C,C31)+COUNTIF(Escolha43!C:C,C31)-COUNTIF($C:$C,C31)&gt;0),"CONFLITO","OK"))</f>
        <v>OK</v>
      </c>
      <c r="G31" t="s">
        <v>401</v>
      </c>
      <c r="H31" t="s">
        <v>14</v>
      </c>
      <c r="I31" t="s">
        <v>327</v>
      </c>
      <c r="J31" t="s">
        <v>353</v>
      </c>
      <c r="K31">
        <v>0</v>
      </c>
    </row>
    <row r="32" spans="1:11" x14ac:dyDescent="0.25">
      <c r="A32" t="s">
        <v>317</v>
      </c>
      <c r="B32" t="s">
        <v>14</v>
      </c>
      <c r="C32" t="s">
        <v>553</v>
      </c>
      <c r="D32" t="s">
        <v>367</v>
      </c>
      <c r="E32">
        <v>0</v>
      </c>
      <c r="F32" t="str">
        <f>IF(C32="","",IF(OR(COUNTIF($C:$C,C32)&gt;1,COUNTIF(Prensa!C:C,C32)+COUNTIF(Carga!C:C,C32)+COUNTIF(Escolha41!C:C,C32)+COUNTIF(Escolha43!C:C,C32)-COUNTIF($C:$C,C32)&gt;0),"CONFLITO","OK"))</f>
        <v>OK</v>
      </c>
      <c r="G32" t="s">
        <v>317</v>
      </c>
      <c r="H32" t="s">
        <v>14</v>
      </c>
      <c r="I32" t="s">
        <v>318</v>
      </c>
      <c r="J32" t="s">
        <v>367</v>
      </c>
      <c r="K32">
        <v>0</v>
      </c>
    </row>
    <row r="33" spans="1:11" x14ac:dyDescent="0.25">
      <c r="A33" t="s">
        <v>257</v>
      </c>
      <c r="B33" t="s">
        <v>14</v>
      </c>
      <c r="C33" t="s">
        <v>558</v>
      </c>
      <c r="D33" t="s">
        <v>370</v>
      </c>
      <c r="E33">
        <v>0</v>
      </c>
      <c r="F33" t="str">
        <f>IF(C33="","",IF(OR(COUNTIF($C:$C,C33)&gt;1,COUNTIF(Prensa!C:C,C33)+COUNTIF(Carga!C:C,C33)+COUNTIF(Escolha41!C:C,C33)+COUNTIF(Escolha43!C:C,C33)-COUNTIF($C:$C,C33)&gt;0),"CONFLITO","OK"))</f>
        <v>OK</v>
      </c>
      <c r="G33" t="s">
        <v>257</v>
      </c>
      <c r="H33" t="s">
        <v>14</v>
      </c>
      <c r="I33" t="s">
        <v>314</v>
      </c>
      <c r="J33" t="s">
        <v>370</v>
      </c>
      <c r="K33">
        <v>0</v>
      </c>
    </row>
    <row r="34" spans="1:11" x14ac:dyDescent="0.25">
      <c r="A34" t="s">
        <v>407</v>
      </c>
      <c r="B34" t="s">
        <v>1</v>
      </c>
      <c r="C34" t="s">
        <v>332</v>
      </c>
      <c r="D34" t="s">
        <v>408</v>
      </c>
      <c r="E34">
        <v>0</v>
      </c>
      <c r="F34" t="str">
        <f>IF(C34="","",IF(OR(COUNTIF($C:$C,C34)&gt;1,COUNTIF(Prensa!C:C,C34)+COUNTIF(Carga!C:C,C34)+COUNTIF(Escolha41!C:C,C34)+COUNTIF(Escolha43!C:C,C34)-COUNTIF($C:$C,C34)&gt;0),"CONFLITO","OK"))</f>
        <v>OK</v>
      </c>
      <c r="G34" t="s">
        <v>407</v>
      </c>
      <c r="H34" t="s">
        <v>1</v>
      </c>
      <c r="I34" t="s">
        <v>332</v>
      </c>
      <c r="J34" t="s">
        <v>408</v>
      </c>
      <c r="K34">
        <v>0</v>
      </c>
    </row>
    <row r="35" spans="1:11" x14ac:dyDescent="0.25">
      <c r="A35" t="s">
        <v>116</v>
      </c>
      <c r="B35" t="s">
        <v>1</v>
      </c>
      <c r="C35" t="s">
        <v>117</v>
      </c>
      <c r="D35" t="s">
        <v>118</v>
      </c>
      <c r="E35">
        <v>0</v>
      </c>
      <c r="F35" t="str">
        <f>IF(C35="","",IF(OR(COUNTIF($C:$C,C35)&gt;1,COUNTIF(Prensa!C:C,C35)+COUNTIF(Carga!C:C,C35)+COUNTIF(Escolha41!C:C,C35)+COUNTIF(Escolha43!C:C,C35)-COUNTIF($C:$C,C35)&gt;0),"CONFLITO","OK"))</f>
        <v>OK</v>
      </c>
      <c r="G35" t="s">
        <v>116</v>
      </c>
      <c r="H35" t="s">
        <v>1</v>
      </c>
      <c r="I35" t="s">
        <v>117</v>
      </c>
      <c r="J35" t="s">
        <v>118</v>
      </c>
      <c r="K35">
        <v>0</v>
      </c>
    </row>
    <row r="36" spans="1:11" x14ac:dyDescent="0.25">
      <c r="A36" t="s">
        <v>119</v>
      </c>
      <c r="B36" t="s">
        <v>1</v>
      </c>
      <c r="C36" t="s">
        <v>120</v>
      </c>
      <c r="D36" t="s">
        <v>121</v>
      </c>
      <c r="E36">
        <v>0</v>
      </c>
      <c r="F36" t="str">
        <f>IF(C36="","",IF(OR(COUNTIF($C:$C,C36)&gt;1,COUNTIF(Prensa!C:C,C36)+COUNTIF(Carga!C:C,C36)+COUNTIF(Escolha41!C:C,C36)+COUNTIF(Escolha43!C:C,C36)-COUNTIF($C:$C,C36)&gt;0),"CONFLITO","OK"))</f>
        <v>OK</v>
      </c>
      <c r="G36" t="s">
        <v>119</v>
      </c>
      <c r="H36" t="s">
        <v>1</v>
      </c>
      <c r="I36" t="s">
        <v>120</v>
      </c>
      <c r="J36" t="s">
        <v>121</v>
      </c>
      <c r="K36">
        <v>0</v>
      </c>
    </row>
    <row r="37" spans="1:11" x14ac:dyDescent="0.25">
      <c r="A37" t="s">
        <v>122</v>
      </c>
      <c r="B37" t="s">
        <v>1</v>
      </c>
      <c r="C37" t="s">
        <v>123</v>
      </c>
      <c r="D37" t="s">
        <v>124</v>
      </c>
      <c r="E37">
        <v>0</v>
      </c>
      <c r="F37" t="str">
        <f>IF(C37="","",IF(OR(COUNTIF($C:$C,C37)&gt;1,COUNTIF(Prensa!C:C,C37)+COUNTIF(Carga!C:C,C37)+COUNTIF(Escolha41!C:C,C37)+COUNTIF(Escolha43!C:C,C37)-COUNTIF($C:$C,C37)&gt;0),"CONFLITO","OK"))</f>
        <v>OK</v>
      </c>
      <c r="G37" t="s">
        <v>413</v>
      </c>
      <c r="H37" t="s">
        <v>1</v>
      </c>
      <c r="I37" t="s">
        <v>336</v>
      </c>
      <c r="J37" t="s">
        <v>414</v>
      </c>
      <c r="K37">
        <v>0</v>
      </c>
    </row>
    <row r="38" spans="1:11" x14ac:dyDescent="0.25">
      <c r="A38" t="s">
        <v>413</v>
      </c>
      <c r="B38" t="s">
        <v>1</v>
      </c>
      <c r="C38" t="s">
        <v>554</v>
      </c>
      <c r="D38" t="s">
        <v>414</v>
      </c>
      <c r="E38">
        <v>0</v>
      </c>
      <c r="F38" t="str">
        <f>IF(C38="","",IF(OR(COUNTIF($C:$C,C38)&gt;1,COUNTIF(Prensa!C:C,C38)+COUNTIF(Carga!C:C,C38)+COUNTIF(Escolha41!C:C,C38)+COUNTIF(Escolha43!C:C,C38)-COUNTIF($C:$C,C38)&gt;0),"CONFLITO","OK"))</f>
        <v>OK</v>
      </c>
      <c r="G38" t="s">
        <v>175</v>
      </c>
      <c r="H38" t="s">
        <v>1</v>
      </c>
      <c r="I38" t="s">
        <v>176</v>
      </c>
      <c r="J38" t="s">
        <v>177</v>
      </c>
      <c r="K38">
        <v>0</v>
      </c>
    </row>
    <row r="39" spans="1:11" x14ac:dyDescent="0.25">
      <c r="A39" t="s">
        <v>395</v>
      </c>
      <c r="B39" t="s">
        <v>14</v>
      </c>
      <c r="C39" t="s">
        <v>567</v>
      </c>
      <c r="D39" t="s">
        <v>396</v>
      </c>
      <c r="E39">
        <v>0</v>
      </c>
      <c r="F39" t="str">
        <f>IF(C39="","",IF(OR(COUNTIF($C:$C,C39)&gt;1,COUNTIF(Prensa!C:C,C39)+COUNTIF(Carga!C:C,C39)+COUNTIF(Escolha41!C:C,C39)+COUNTIF(Escolha43!C:C,C39)-COUNTIF($C:$C,C39)&gt;0),"CONFLITO","OK"))</f>
        <v>OK</v>
      </c>
      <c r="G39" t="s">
        <v>181</v>
      </c>
      <c r="H39" t="s">
        <v>1</v>
      </c>
      <c r="I39" t="s">
        <v>182</v>
      </c>
      <c r="J39" t="s">
        <v>177</v>
      </c>
      <c r="K39">
        <v>0</v>
      </c>
    </row>
    <row r="40" spans="1:11" x14ac:dyDescent="0.25">
      <c r="A40" t="s">
        <v>387</v>
      </c>
      <c r="B40" t="s">
        <v>14</v>
      </c>
      <c r="C40" t="s">
        <v>568</v>
      </c>
      <c r="D40" t="s">
        <v>388</v>
      </c>
      <c r="E40">
        <v>0</v>
      </c>
      <c r="F40" t="str">
        <f>IF(C40="","",IF(OR(COUNTIF($C:$C,C40)&gt;1,COUNTIF(Prensa!C:C,C40)+COUNTIF(Carga!C:C,C40)+COUNTIF(Escolha41!C:C,C40)+COUNTIF(Escolha43!C:C,C40)-COUNTIF($C:$C,C40)&gt;0),"CONFLITO","OK"))</f>
        <v>OK</v>
      </c>
      <c r="G40" t="s">
        <v>186</v>
      </c>
      <c r="H40" t="s">
        <v>1</v>
      </c>
      <c r="I40" t="s">
        <v>187</v>
      </c>
      <c r="J40" t="s">
        <v>177</v>
      </c>
      <c r="K40">
        <v>0</v>
      </c>
    </row>
    <row r="41" spans="1:11" x14ac:dyDescent="0.25">
      <c r="A41" t="s">
        <v>175</v>
      </c>
      <c r="B41" t="s">
        <v>1</v>
      </c>
      <c r="C41" t="s">
        <v>555</v>
      </c>
      <c r="D41" t="s">
        <v>177</v>
      </c>
      <c r="E41">
        <v>0</v>
      </c>
      <c r="F41" t="str">
        <f>IF(C41="","",IF(OR(COUNTIF($C:$C,C41)&gt;1,COUNTIF(Prensa!C:C,C41)+COUNTIF(Carga!C:C,C41)+COUNTIF(Escolha41!C:C,C41)+COUNTIF(Escolha43!C:C,C41)-COUNTIF($C:$C,C41)&gt;0),"CONFLITO","OK"))</f>
        <v>OK</v>
      </c>
      <c r="G41" t="s">
        <v>398</v>
      </c>
      <c r="H41" t="s">
        <v>14</v>
      </c>
      <c r="I41" t="s">
        <v>324</v>
      </c>
      <c r="J41" t="s">
        <v>356</v>
      </c>
      <c r="K41">
        <v>0</v>
      </c>
    </row>
    <row r="42" spans="1:11" x14ac:dyDescent="0.25">
      <c r="A42" t="s">
        <v>60</v>
      </c>
      <c r="B42" t="s">
        <v>1</v>
      </c>
      <c r="C42" t="s">
        <v>61</v>
      </c>
      <c r="D42" t="s">
        <v>62</v>
      </c>
      <c r="E42">
        <v>0</v>
      </c>
      <c r="F42" t="str">
        <f>IF(C42="","",IF(OR(COUNTIF($C:$C,C42)&gt;1,COUNTIF(Prensa!C:C,C42)+COUNTIF(Carga!C:C,C42)+COUNTIF(Escolha41!C:C,C42)+COUNTIF(Escolha43!C:C,C42)-COUNTIF($C:$C,C42)&gt;0),"CONFLITO","OK"))</f>
        <v>OK</v>
      </c>
      <c r="G42" t="s">
        <v>383</v>
      </c>
      <c r="H42" t="s">
        <v>14</v>
      </c>
      <c r="I42" t="s">
        <v>313</v>
      </c>
      <c r="J42" t="s">
        <v>372</v>
      </c>
      <c r="K42">
        <v>0</v>
      </c>
    </row>
    <row r="43" spans="1:11" x14ac:dyDescent="0.25">
      <c r="A43" t="s">
        <v>57</v>
      </c>
      <c r="B43" t="s">
        <v>1</v>
      </c>
      <c r="C43" t="s">
        <v>58</v>
      </c>
      <c r="D43" t="s">
        <v>59</v>
      </c>
      <c r="E43">
        <v>0</v>
      </c>
      <c r="F43" t="str">
        <f>IF(C43="","",IF(OR(COUNTIF($C:$C,C43)&gt;1,COUNTIF(Prensa!C:C,C43)+COUNTIF(Carga!C:C,C43)+COUNTIF(Escolha41!C:C,C43)+COUNTIF(Escolha43!C:C,C43)-COUNTIF($C:$C,C43)&gt;0),"CONFLITO","OK"))</f>
        <v>OK</v>
      </c>
      <c r="G43" t="s">
        <v>410</v>
      </c>
      <c r="H43" t="s">
        <v>1</v>
      </c>
      <c r="I43" t="s">
        <v>333</v>
      </c>
      <c r="J43" t="s">
        <v>343</v>
      </c>
      <c r="K43">
        <v>0</v>
      </c>
    </row>
    <row r="44" spans="1:11" x14ac:dyDescent="0.25">
      <c r="A44" t="s">
        <v>181</v>
      </c>
      <c r="B44" t="s">
        <v>1</v>
      </c>
      <c r="C44" t="s">
        <v>556</v>
      </c>
      <c r="D44" t="s">
        <v>177</v>
      </c>
      <c r="E44">
        <v>0</v>
      </c>
      <c r="F44" t="str">
        <f>IF(C44="","",IF(OR(COUNTIF($C:$C,C44)&gt;1,COUNTIF(Prensa!C:C,C44)+COUNTIF(Carga!C:C,C44)+COUNTIF(Escolha41!C:C,C44)+COUNTIF(Escolha43!C:C,C44)-COUNTIF($C:$C,C44)&gt;0),"CONFLITO","OK"))</f>
        <v>OK</v>
      </c>
      <c r="G44" t="s">
        <v>411</v>
      </c>
      <c r="H44" t="s">
        <v>1</v>
      </c>
      <c r="I44" t="s">
        <v>334</v>
      </c>
      <c r="J44" t="s">
        <v>341</v>
      </c>
      <c r="K44">
        <v>0</v>
      </c>
    </row>
    <row r="45" spans="1:11" x14ac:dyDescent="0.25">
      <c r="A45" t="s">
        <v>186</v>
      </c>
      <c r="B45" t="s">
        <v>1</v>
      </c>
      <c r="C45" t="s">
        <v>557</v>
      </c>
      <c r="D45" t="s">
        <v>177</v>
      </c>
      <c r="E45">
        <v>0</v>
      </c>
      <c r="F45" t="str">
        <f>IF(C45="","",IF(OR(COUNTIF($C:$C,C45)&gt;1,COUNTIF(Prensa!C:C,C45)+COUNTIF(Carga!C:C,C45)+COUNTIF(Escolha41!C:C,C45)+COUNTIF(Escolha43!C:C,C45)-COUNTIF($C:$C,C45)&gt;0),"CONFLITO","OK"))</f>
        <v>OK</v>
      </c>
      <c r="G45" t="s">
        <v>412</v>
      </c>
      <c r="H45" t="s">
        <v>1</v>
      </c>
      <c r="I45" t="s">
        <v>335</v>
      </c>
      <c r="J45" t="s">
        <v>339</v>
      </c>
      <c r="K45">
        <v>0</v>
      </c>
    </row>
    <row r="46" spans="1:11" x14ac:dyDescent="0.25">
      <c r="A46" t="s">
        <v>383</v>
      </c>
      <c r="B46" t="s">
        <v>14</v>
      </c>
      <c r="C46" t="s">
        <v>569</v>
      </c>
      <c r="D46" t="s">
        <v>372</v>
      </c>
      <c r="E46">
        <v>0</v>
      </c>
      <c r="F46" t="str">
        <f>IF(C46="","",IF(OR(COUNTIF($C:$C,C46)&gt;1,COUNTIF(Prensa!C:C,C46)+COUNTIF(Carga!C:C,C46)+COUNTIF(Escolha41!C:C,C46)+COUNTIF(Escolha43!C:C,C46)-COUNTIF($C:$C,C46)&gt;0),"CONFLITO","OK"))</f>
        <v>OK</v>
      </c>
      <c r="G46" t="s">
        <v>125</v>
      </c>
      <c r="H46" t="s">
        <v>1</v>
      </c>
      <c r="I46" t="s">
        <v>126</v>
      </c>
      <c r="J46" t="s">
        <v>127</v>
      </c>
      <c r="K46">
        <v>0</v>
      </c>
    </row>
    <row r="47" spans="1:11" x14ac:dyDescent="0.25">
      <c r="A47" t="s">
        <v>183</v>
      </c>
      <c r="B47" t="s">
        <v>1</v>
      </c>
      <c r="C47" t="s">
        <v>559</v>
      </c>
      <c r="D47" t="s">
        <v>185</v>
      </c>
      <c r="E47">
        <v>0</v>
      </c>
      <c r="F47" t="str">
        <f>IF(C47="","",IF(OR(COUNTIF($C:$C,C47)&gt;1,COUNTIF(Prensa!C:C,C47)+COUNTIF(Carga!C:C,C47)+COUNTIF(Escolha41!C:C,C47)+COUNTIF(Escolha43!C:C,C47)-COUNTIF($C:$C,C47)&gt;0),"CONFLITO","OK"))</f>
        <v>OK</v>
      </c>
      <c r="G47" t="s">
        <v>131</v>
      </c>
      <c r="H47" t="s">
        <v>1</v>
      </c>
      <c r="I47" t="s">
        <v>132</v>
      </c>
      <c r="J47" t="s">
        <v>133</v>
      </c>
      <c r="K47">
        <v>0</v>
      </c>
    </row>
    <row r="48" spans="1:11" x14ac:dyDescent="0.25">
      <c r="A48" t="s">
        <v>194</v>
      </c>
      <c r="B48" t="s">
        <v>1</v>
      </c>
      <c r="C48" t="s">
        <v>560</v>
      </c>
      <c r="D48" t="s">
        <v>196</v>
      </c>
      <c r="E48">
        <v>0</v>
      </c>
      <c r="F48" t="str">
        <f>IF(C48="","",IF(OR(COUNTIF($C:$C,C48)&gt;1,COUNTIF(Prensa!C:C,C48)+COUNTIF(Carga!C:C,C48)+COUNTIF(Escolha41!C:C,C48)+COUNTIF(Escolha43!C:C,C48)-COUNTIF($C:$C,C48)&gt;0),"CONFLITO","OK"))</f>
        <v>OK</v>
      </c>
      <c r="G48" t="s">
        <v>137</v>
      </c>
      <c r="H48" t="s">
        <v>1</v>
      </c>
      <c r="I48" t="s">
        <v>138</v>
      </c>
      <c r="J48" t="s">
        <v>139</v>
      </c>
      <c r="K48">
        <v>0</v>
      </c>
    </row>
    <row r="49" spans="1:11" x14ac:dyDescent="0.25">
      <c r="A49" t="s">
        <v>191</v>
      </c>
      <c r="B49" t="s">
        <v>1</v>
      </c>
      <c r="C49" t="s">
        <v>561</v>
      </c>
      <c r="D49" t="s">
        <v>193</v>
      </c>
      <c r="E49">
        <v>0</v>
      </c>
      <c r="F49" t="str">
        <f>IF(C49="","",IF(OR(COUNTIF($C:$C,C49)&gt;1,COUNTIF(Prensa!C:C,C49)+COUNTIF(Carga!C:C,C49)+COUNTIF(Escolha41!C:C,C49)+COUNTIF(Escolha43!C:C,C49)-COUNTIF($C:$C,C49)&gt;0),"CONFLITO","OK"))</f>
        <v>OK</v>
      </c>
      <c r="G49" t="s">
        <v>404</v>
      </c>
      <c r="H49" t="s">
        <v>14</v>
      </c>
      <c r="I49" t="s">
        <v>330</v>
      </c>
      <c r="J49" t="s">
        <v>349</v>
      </c>
      <c r="K49">
        <v>0</v>
      </c>
    </row>
    <row r="50" spans="1:11" x14ac:dyDescent="0.25">
      <c r="A50" t="s">
        <v>178</v>
      </c>
      <c r="B50" t="s">
        <v>1</v>
      </c>
      <c r="C50" t="s">
        <v>562</v>
      </c>
      <c r="D50" t="s">
        <v>180</v>
      </c>
      <c r="E50">
        <v>0</v>
      </c>
      <c r="F50" t="str">
        <f>IF(C50="","",IF(OR(COUNTIF($C:$C,C50)&gt;1,COUNTIF(Prensa!C:C,C50)+COUNTIF(Carga!C:C,C50)+COUNTIF(Escolha41!C:C,C50)+COUNTIF(Escolha43!C:C,C50)-COUNTIF($C:$C,C50)&gt;0),"CONFLITO","OK"))</f>
        <v>OK</v>
      </c>
      <c r="G50" t="s">
        <v>402</v>
      </c>
      <c r="H50" t="s">
        <v>14</v>
      </c>
      <c r="I50" t="s">
        <v>328</v>
      </c>
      <c r="J50" t="s">
        <v>403</v>
      </c>
      <c r="K50">
        <v>0</v>
      </c>
    </row>
    <row r="51" spans="1:11" x14ac:dyDescent="0.25">
      <c r="A51" t="s">
        <v>188</v>
      </c>
      <c r="B51" t="s">
        <v>1</v>
      </c>
      <c r="C51" t="s">
        <v>563</v>
      </c>
      <c r="D51" t="s">
        <v>190</v>
      </c>
      <c r="E51">
        <v>0</v>
      </c>
      <c r="F51" t="str">
        <f>IF(C51="","",IF(OR(COUNTIF($C:$C,C51)&gt;1,COUNTIF(Prensa!C:C,C51)+COUNTIF(Carga!C:C,C51)+COUNTIF(Escolha41!C:C,C51)+COUNTIF(Escolha43!C:C,C51)-COUNTIF($C:$C,C51)&gt;0),"CONFLITO","OK"))</f>
        <v>OK</v>
      </c>
      <c r="G51" t="s">
        <v>260</v>
      </c>
      <c r="H51" t="s">
        <v>14</v>
      </c>
      <c r="I51" t="s">
        <v>315</v>
      </c>
      <c r="J51" t="s">
        <v>369</v>
      </c>
      <c r="K51">
        <v>0</v>
      </c>
    </row>
    <row r="52" spans="1:11" x14ac:dyDescent="0.25">
      <c r="A52" t="s">
        <v>410</v>
      </c>
      <c r="B52" t="s">
        <v>1</v>
      </c>
      <c r="C52" t="s">
        <v>564</v>
      </c>
      <c r="D52" t="s">
        <v>343</v>
      </c>
      <c r="E52">
        <v>0</v>
      </c>
      <c r="F52" t="str">
        <f>IF(C52="","",IF(OR(COUNTIF($C:$C,C52)&gt;1,COUNTIF(Prensa!C:C,C52)+COUNTIF(Carga!C:C,C52)+COUNTIF(Escolha41!C:C,C52)+COUNTIF(Escolha43!C:C,C52)-COUNTIF($C:$C,C52)&gt;0),"CONFLITO","OK"))</f>
        <v>OK</v>
      </c>
      <c r="G52" t="s">
        <v>405</v>
      </c>
      <c r="H52" t="s">
        <v>14</v>
      </c>
      <c r="I52" t="s">
        <v>528</v>
      </c>
      <c r="J52" t="s">
        <v>347</v>
      </c>
      <c r="K52">
        <v>0</v>
      </c>
    </row>
    <row r="53" spans="1:11" x14ac:dyDescent="0.25">
      <c r="A53" t="s">
        <v>411</v>
      </c>
      <c r="B53" t="s">
        <v>1</v>
      </c>
      <c r="C53" t="s">
        <v>565</v>
      </c>
      <c r="D53" t="s">
        <v>341</v>
      </c>
      <c r="E53">
        <v>0</v>
      </c>
      <c r="F53" t="str">
        <f>IF(C53="","",IF(OR(COUNTIF($C:$C,C53)&gt;1,COUNTIF(Prensa!C:C,C53)+COUNTIF(Carga!C:C,C53)+COUNTIF(Escolha41!C:C,C53)+COUNTIF(Escolha43!C:C,C53)-COUNTIF($C:$C,C53)&gt;0),"CONFLITO","OK"))</f>
        <v>OK</v>
      </c>
      <c r="G53" t="s">
        <v>329</v>
      </c>
      <c r="H53" t="s">
        <v>14</v>
      </c>
      <c r="I53" t="s">
        <v>331</v>
      </c>
      <c r="J53" t="s">
        <v>347</v>
      </c>
      <c r="K53">
        <v>0</v>
      </c>
    </row>
    <row r="54" spans="1:11" x14ac:dyDescent="0.25">
      <c r="A54" t="s">
        <v>412</v>
      </c>
      <c r="B54" t="s">
        <v>1</v>
      </c>
      <c r="C54" t="s">
        <v>566</v>
      </c>
      <c r="D54" t="s">
        <v>339</v>
      </c>
      <c r="E54">
        <v>0</v>
      </c>
      <c r="F54" t="str">
        <f>IF(C54="","",IF(OR(COUNTIF($C:$C,C54)&gt;1,COUNTIF(Prensa!C:C,C54)+COUNTIF(Carga!C:C,C54)+COUNTIF(Escolha41!C:C,C54)+COUNTIF(Escolha43!C:C,C54)-COUNTIF($C:$C,C54)&gt;0),"CONFLITO","OK"))</f>
        <v>OK</v>
      </c>
      <c r="G54" t="s">
        <v>399</v>
      </c>
      <c r="H54" t="s">
        <v>14</v>
      </c>
      <c r="I54" t="s">
        <v>325</v>
      </c>
      <c r="J54" t="s">
        <v>355</v>
      </c>
      <c r="K54">
        <v>0</v>
      </c>
    </row>
    <row r="55" spans="1:11" x14ac:dyDescent="0.25">
      <c r="A55" t="s">
        <v>125</v>
      </c>
      <c r="B55" t="s">
        <v>1</v>
      </c>
      <c r="C55" t="s">
        <v>126</v>
      </c>
      <c r="D55" t="s">
        <v>127</v>
      </c>
      <c r="E55">
        <v>0</v>
      </c>
      <c r="F55" t="str">
        <f>IF(C55="","",IF(OR(COUNTIF($C:$C,C55)&gt;1,COUNTIF(Prensa!C:C,C55)+COUNTIF(Carga!C:C,C55)+COUNTIF(Escolha41!C:C,C55)+COUNTIF(Escolha43!C:C,C55)-COUNTIF($C:$C,C55)&gt;0),"CONFLITO","OK"))</f>
        <v>OK</v>
      </c>
      <c r="G55" t="s">
        <v>251</v>
      </c>
      <c r="H55" t="s">
        <v>14</v>
      </c>
      <c r="I55" t="s">
        <v>312</v>
      </c>
      <c r="J55" t="s">
        <v>374</v>
      </c>
      <c r="K55">
        <v>0</v>
      </c>
    </row>
    <row r="56" spans="1:11" x14ac:dyDescent="0.25">
      <c r="A56" t="s">
        <v>131</v>
      </c>
      <c r="B56" t="s">
        <v>1</v>
      </c>
      <c r="C56" t="s">
        <v>132</v>
      </c>
      <c r="D56" t="s">
        <v>133</v>
      </c>
      <c r="E56">
        <v>0</v>
      </c>
      <c r="F56" t="str">
        <f>IF(C56="","",IF(OR(COUNTIF($C:$C,C56)&gt;1,COUNTIF(Prensa!C:C,C56)+COUNTIF(Carga!C:C,C56)+COUNTIF(Escolha41!C:C,C56)+COUNTIF(Escolha43!C:C,C56)-COUNTIF($C:$C,C56)&gt;0),"CONFLITO","OK"))</f>
        <v>OK</v>
      </c>
      <c r="G56" t="s">
        <v>51</v>
      </c>
      <c r="H56" t="s">
        <v>1</v>
      </c>
      <c r="I56" t="s">
        <v>5</v>
      </c>
      <c r="J56" t="s">
        <v>53</v>
      </c>
      <c r="K56">
        <v>0</v>
      </c>
    </row>
    <row r="57" spans="1:11" x14ac:dyDescent="0.25">
      <c r="A57" t="s">
        <v>137</v>
      </c>
      <c r="B57" t="s">
        <v>1</v>
      </c>
      <c r="C57" t="s">
        <v>138</v>
      </c>
      <c r="D57" t="s">
        <v>139</v>
      </c>
      <c r="E57">
        <v>0</v>
      </c>
      <c r="F57" t="str">
        <f>IF(C57="","",IF(OR(COUNTIF($C:$C,C57)&gt;1,COUNTIF(Prensa!C:C,C57)+COUNTIF(Carga!C:C,C57)+COUNTIF(Escolha41!C:C,C57)+COUNTIF(Escolha43!C:C,C57)-COUNTIF($C:$C,C57)&gt;0),"CONFLITO","OK"))</f>
        <v>OK</v>
      </c>
      <c r="G57" t="s">
        <v>63</v>
      </c>
      <c r="H57" t="s">
        <v>1</v>
      </c>
      <c r="I57" t="s">
        <v>291</v>
      </c>
      <c r="J57" t="s">
        <v>65</v>
      </c>
      <c r="K57">
        <v>0</v>
      </c>
    </row>
    <row r="58" spans="1:11" x14ac:dyDescent="0.25">
      <c r="A58" t="s">
        <v>404</v>
      </c>
      <c r="B58" t="s">
        <v>14</v>
      </c>
      <c r="C58" t="s">
        <v>570</v>
      </c>
      <c r="D58" t="s">
        <v>349</v>
      </c>
      <c r="E58">
        <v>0</v>
      </c>
      <c r="F58" t="str">
        <f>IF(C58="","",IF(OR(COUNTIF($C:$C,C58)&gt;1,COUNTIF(Prensa!C:C,C58)+COUNTIF(Carga!C:C,C58)+COUNTIF(Escolha41!C:C,C58)+COUNTIF(Escolha43!C:C,C58)-COUNTIF($C:$C,C58)&gt;0),"CONFLITO","OK"))</f>
        <v>OK</v>
      </c>
      <c r="G58" t="s">
        <v>155</v>
      </c>
      <c r="H58" t="s">
        <v>14</v>
      </c>
      <c r="I58" t="s">
        <v>156</v>
      </c>
      <c r="J58" t="s">
        <v>157</v>
      </c>
      <c r="K58">
        <v>0</v>
      </c>
    </row>
    <row r="59" spans="1:11" x14ac:dyDescent="0.25">
      <c r="A59" t="s">
        <v>402</v>
      </c>
      <c r="B59" t="s">
        <v>14</v>
      </c>
      <c r="C59" t="s">
        <v>571</v>
      </c>
      <c r="D59" t="s">
        <v>403</v>
      </c>
      <c r="E59">
        <v>0</v>
      </c>
      <c r="F59" t="str">
        <f>IF(C59="","",IF(OR(COUNTIF($C:$C,C59)&gt;1,COUNTIF(Prensa!C:C,C59)+COUNTIF(Carga!C:C,C59)+COUNTIF(Escolha41!C:C,C59)+COUNTIF(Escolha43!C:C,C59)-COUNTIF($C:$C,C59)&gt;0),"CONFLITO","OK"))</f>
        <v>OK</v>
      </c>
      <c r="G59" t="s">
        <v>389</v>
      </c>
      <c r="H59" t="s">
        <v>14</v>
      </c>
      <c r="I59" t="s">
        <v>320</v>
      </c>
      <c r="J59" t="s">
        <v>390</v>
      </c>
      <c r="K59">
        <v>0</v>
      </c>
    </row>
    <row r="60" spans="1:11" x14ac:dyDescent="0.25">
      <c r="A60" t="s">
        <v>260</v>
      </c>
      <c r="B60" t="s">
        <v>14</v>
      </c>
      <c r="C60" t="s">
        <v>572</v>
      </c>
      <c r="D60" t="s">
        <v>369</v>
      </c>
      <c r="E60">
        <v>0</v>
      </c>
      <c r="F60" t="str">
        <f>IF(C60="","",IF(OR(COUNTIF($C:$C,C60)&gt;1,COUNTIF(Prensa!C:C,C60)+COUNTIF(Carga!C:C,C60)+COUNTIF(Escolha41!C:C,C60)+COUNTIF(Escolha43!C:C,C60)-COUNTIF($C:$C,C60)&gt;0),"CONFLITO","OK"))</f>
        <v>OK</v>
      </c>
      <c r="G60" t="s">
        <v>391</v>
      </c>
      <c r="H60" t="s">
        <v>14</v>
      </c>
      <c r="I60" t="s">
        <v>321</v>
      </c>
      <c r="J60" t="s">
        <v>392</v>
      </c>
      <c r="K60">
        <v>0</v>
      </c>
    </row>
    <row r="61" spans="1:11" x14ac:dyDescent="0.25">
      <c r="A61" t="s">
        <v>329</v>
      </c>
      <c r="B61" t="s">
        <v>14</v>
      </c>
      <c r="C61" t="s">
        <v>573</v>
      </c>
      <c r="D61" t="s">
        <v>347</v>
      </c>
      <c r="E61">
        <v>0</v>
      </c>
      <c r="F61" t="str">
        <f>IF(C61="","",IF(OR(COUNTIF($C:$C,C61)&gt;1,COUNTIF(Prensa!C:C,C61)+COUNTIF(Carga!C:C,C61)+COUNTIF(Escolha41!C:C,C61)+COUNTIF(Escolha43!C:C,C61)-COUNTIF($C:$C,C61)&gt;0),"CONFLITO","OK"))</f>
        <v>OK</v>
      </c>
      <c r="G61" t="s">
        <v>393</v>
      </c>
      <c r="H61" t="s">
        <v>14</v>
      </c>
      <c r="I61" t="s">
        <v>322</v>
      </c>
      <c r="J61" t="s">
        <v>394</v>
      </c>
      <c r="K61">
        <v>0</v>
      </c>
    </row>
    <row r="62" spans="1:11" x14ac:dyDescent="0.25">
      <c r="A62" t="s">
        <v>405</v>
      </c>
      <c r="B62" t="s">
        <v>14</v>
      </c>
      <c r="C62" t="s">
        <v>574</v>
      </c>
      <c r="D62" t="s">
        <v>347</v>
      </c>
      <c r="E62">
        <v>0</v>
      </c>
      <c r="F62" t="str">
        <f>IF(C62="","",IF(OR(COUNTIF($C:$C,C62)&gt;1,COUNTIF(Prensa!C:C,C62)+COUNTIF(Carga!C:C,C62)+COUNTIF(Escolha41!C:C,C62)+COUNTIF(Escolha43!C:C,C62)-COUNTIF($C:$C,C62)&gt;0),"CONFLITO","OK"))</f>
        <v>OK</v>
      </c>
      <c r="G62" t="s">
        <v>387</v>
      </c>
      <c r="H62" t="s">
        <v>14</v>
      </c>
      <c r="I62" t="s">
        <v>319</v>
      </c>
      <c r="J62" t="s">
        <v>388</v>
      </c>
      <c r="K62">
        <v>0</v>
      </c>
    </row>
    <row r="63" spans="1:11" x14ac:dyDescent="0.25">
      <c r="A63" t="s">
        <v>251</v>
      </c>
      <c r="B63" t="s">
        <v>14</v>
      </c>
      <c r="C63" t="s">
        <v>575</v>
      </c>
      <c r="D63" t="s">
        <v>374</v>
      </c>
      <c r="E63">
        <v>0</v>
      </c>
      <c r="F63" t="str">
        <f>IF(C63="","",IF(OR(COUNTIF($C:$C,C63)&gt;1,COUNTIF(Prensa!C:C,C63)+COUNTIF(Carga!C:C,C63)+COUNTIF(Escolha41!C:C,C63)+COUNTIF(Escolha43!C:C,C63)-COUNTIF($C:$C,C63)&gt;0),"CONFLITO","OK"))</f>
        <v>OK</v>
      </c>
      <c r="G63" t="s">
        <v>395</v>
      </c>
      <c r="H63" t="s">
        <v>14</v>
      </c>
      <c r="I63" t="s">
        <v>323</v>
      </c>
      <c r="J63" t="s">
        <v>396</v>
      </c>
      <c r="K63">
        <v>0</v>
      </c>
    </row>
    <row r="64" spans="1:11" x14ac:dyDescent="0.25">
      <c r="A64" t="s">
        <v>51</v>
      </c>
      <c r="B64" t="s">
        <v>1</v>
      </c>
      <c r="C64" t="s">
        <v>52</v>
      </c>
      <c r="D64" t="s">
        <v>53</v>
      </c>
      <c r="E64">
        <v>0</v>
      </c>
      <c r="F64" t="str">
        <f>IF(C64="","",IF(OR(COUNTIF($C:$C,C64)&gt;1,COUNTIF(Prensa!C:C,C64)+COUNTIF(Carga!C:C,C64)+COUNTIF(Escolha41!C:C,C64)+COUNTIF(Escolha43!C:C,C64)-COUNTIF($C:$C,C64)&gt;0),"CONFLITO","OK"))</f>
        <v>OK</v>
      </c>
      <c r="G64" t="s">
        <v>167</v>
      </c>
      <c r="H64" t="s">
        <v>14</v>
      </c>
      <c r="I64" t="s">
        <v>168</v>
      </c>
      <c r="J64" t="s">
        <v>169</v>
      </c>
      <c r="K64">
        <v>0</v>
      </c>
    </row>
    <row r="65" spans="1:11" x14ac:dyDescent="0.25">
      <c r="A65" t="s">
        <v>63</v>
      </c>
      <c r="B65" t="s">
        <v>1</v>
      </c>
      <c r="C65" t="s">
        <v>64</v>
      </c>
      <c r="D65" t="s">
        <v>65</v>
      </c>
      <c r="E65">
        <v>0</v>
      </c>
      <c r="F65" t="str">
        <f>IF(C65="","",IF(OR(COUNTIF($C:$C,C65)&gt;1,COUNTIF(Prensa!C:C,C65)+COUNTIF(Carga!C:C,C65)+COUNTIF(Escolha41!C:C,C65)+COUNTIF(Escolha43!C:C,C65)-COUNTIF($C:$C,C65)&gt;0),"CONFLITO","OK"))</f>
        <v>OK</v>
      </c>
      <c r="G65" t="s">
        <v>161</v>
      </c>
      <c r="H65" t="s">
        <v>14</v>
      </c>
      <c r="I65" t="s">
        <v>162</v>
      </c>
      <c r="J65" t="s">
        <v>163</v>
      </c>
      <c r="K65">
        <v>0</v>
      </c>
    </row>
    <row r="66" spans="1:11" x14ac:dyDescent="0.25">
      <c r="A66" t="s">
        <v>54</v>
      </c>
      <c r="B66" t="s">
        <v>1</v>
      </c>
      <c r="C66" t="s">
        <v>55</v>
      </c>
      <c r="D66" t="s">
        <v>56</v>
      </c>
      <c r="E66">
        <v>0</v>
      </c>
      <c r="F66" t="str">
        <f>IF(C66="","",IF(OR(COUNTIF($C:$C,C66)&gt;1,COUNTIF(Prensa!C:C,C66)+COUNTIF(Carga!C:C,C66)+COUNTIF(Escolha41!C:C,C66)+COUNTIF(Escolha43!C:C,C66)-COUNTIF($C:$C,C66)&gt;0),"CONFLITO","OK"))</f>
        <v>OK</v>
      </c>
      <c r="G66" t="s">
        <v>60</v>
      </c>
      <c r="H66" t="s">
        <v>1</v>
      </c>
      <c r="I66" t="s">
        <v>289</v>
      </c>
      <c r="J66" t="s">
        <v>62</v>
      </c>
      <c r="K66">
        <v>0</v>
      </c>
    </row>
    <row r="67" spans="1:11" x14ac:dyDescent="0.25">
      <c r="A67" t="s">
        <v>155</v>
      </c>
      <c r="B67" t="s">
        <v>14</v>
      </c>
      <c r="C67" t="s">
        <v>576</v>
      </c>
      <c r="D67" t="s">
        <v>157</v>
      </c>
      <c r="E67">
        <v>0</v>
      </c>
      <c r="F67" t="str">
        <f>IF(C67="","",IF(OR(COUNTIF($C:$C,C67)&gt;1,COUNTIF(Prensa!C:C,C67)+COUNTIF(Carga!C:C,C67)+COUNTIF(Escolha41!C:C,C67)+COUNTIF(Escolha43!C:C,C67)-COUNTIF($C:$C,C67)&gt;0),"CONFLITO","OK"))</f>
        <v>OK</v>
      </c>
      <c r="G67" t="s">
        <v>72</v>
      </c>
      <c r="H67" t="s">
        <v>1</v>
      </c>
      <c r="I67" t="s">
        <v>297</v>
      </c>
      <c r="J67" t="s">
        <v>74</v>
      </c>
      <c r="K67">
        <v>0</v>
      </c>
    </row>
    <row r="68" spans="1:11" x14ac:dyDescent="0.25">
      <c r="A68" t="s">
        <v>389</v>
      </c>
      <c r="B68" t="s">
        <v>14</v>
      </c>
      <c r="C68" t="s">
        <v>577</v>
      </c>
      <c r="D68" t="s">
        <v>390</v>
      </c>
      <c r="E68">
        <v>0</v>
      </c>
      <c r="F68" t="str">
        <f>IF(C68="","",IF(OR(COUNTIF($C:$C,C68)&gt;1,COUNTIF(Prensa!C:C,C68)+COUNTIF(Carga!C:C,C68)+COUNTIF(Escolha41!C:C,C68)+COUNTIF(Escolha43!C:C,C68)-COUNTIF($C:$C,C68)&gt;0),"CONFLITO","OK"))</f>
        <v>OK</v>
      </c>
      <c r="G68" t="s">
        <v>84</v>
      </c>
      <c r="H68" t="s">
        <v>1</v>
      </c>
      <c r="I68" t="s">
        <v>515</v>
      </c>
      <c r="J68" t="s">
        <v>86</v>
      </c>
      <c r="K68">
        <v>0</v>
      </c>
    </row>
    <row r="69" spans="1:11" x14ac:dyDescent="0.25">
      <c r="A69" t="s">
        <v>391</v>
      </c>
      <c r="B69" t="s">
        <v>14</v>
      </c>
      <c r="C69" t="s">
        <v>580</v>
      </c>
      <c r="D69" t="s">
        <v>392</v>
      </c>
      <c r="E69">
        <v>0</v>
      </c>
      <c r="F69" t="str">
        <f>IF(C69="","",IF(OR(COUNTIF($C:$C,C69)&gt;1,COUNTIF(Prensa!C:C,C69)+COUNTIF(Carga!C:C,C69)+COUNTIF(Escolha41!C:C,C69)+COUNTIF(Escolha43!C:C,C69)-COUNTIF($C:$C,C69)&gt;0),"CONFLITO","OK"))</f>
        <v>OK</v>
      </c>
      <c r="G69" t="s">
        <v>128</v>
      </c>
      <c r="H69" t="s">
        <v>1</v>
      </c>
      <c r="I69" t="s">
        <v>129</v>
      </c>
      <c r="J69" t="s">
        <v>130</v>
      </c>
      <c r="K69">
        <v>0</v>
      </c>
    </row>
    <row r="70" spans="1:11" x14ac:dyDescent="0.25">
      <c r="A70" t="s">
        <v>393</v>
      </c>
      <c r="B70" t="s">
        <v>14</v>
      </c>
      <c r="C70" t="s">
        <v>641</v>
      </c>
      <c r="D70" t="s">
        <v>394</v>
      </c>
      <c r="E70">
        <v>0</v>
      </c>
      <c r="F70" t="str">
        <f>IF(C70="","",IF(OR(COUNTIF($C:$C,C70)&gt;1,COUNTIF(Prensa!C:C,C70)+COUNTIF(Carga!C:C,C70)+COUNTIF(Escolha41!C:C,C70)+COUNTIF(Escolha43!C:C,C70)-COUNTIF($C:$C,C70)&gt;0),"CONFLITO","OK"))</f>
        <v>OK</v>
      </c>
      <c r="G70" t="s">
        <v>134</v>
      </c>
      <c r="H70" t="s">
        <v>1</v>
      </c>
      <c r="I70" t="s">
        <v>135</v>
      </c>
      <c r="J70" t="s">
        <v>136</v>
      </c>
      <c r="K70">
        <v>0</v>
      </c>
    </row>
    <row r="71" spans="1:11" x14ac:dyDescent="0.25">
      <c r="A71" t="s">
        <v>173</v>
      </c>
      <c r="B71" t="s">
        <v>14</v>
      </c>
      <c r="C71" t="s">
        <v>642</v>
      </c>
      <c r="D71" t="s">
        <v>397</v>
      </c>
      <c r="E71">
        <v>0</v>
      </c>
      <c r="F71" t="str">
        <f>IF(C71="","",IF(OR(COUNTIF($C:$C,C71)&gt;1,COUNTIF(Prensa!C:C,C71)+COUNTIF(Carga!C:C,C71)+COUNTIF(Escolha41!C:C,C71)+COUNTIF(Escolha43!C:C,C71)-COUNTIF($C:$C,C71)&gt;0),"CONFLITO","OK"))</f>
        <v>OK</v>
      </c>
      <c r="G71" t="s">
        <v>140</v>
      </c>
      <c r="H71" t="s">
        <v>1</v>
      </c>
      <c r="I71" t="s">
        <v>141</v>
      </c>
      <c r="J71" t="s">
        <v>142</v>
      </c>
      <c r="K71">
        <v>0</v>
      </c>
    </row>
    <row r="72" spans="1:11" x14ac:dyDescent="0.25">
      <c r="A72" t="s">
        <v>167</v>
      </c>
      <c r="B72" t="s">
        <v>14</v>
      </c>
      <c r="C72" t="s">
        <v>168</v>
      </c>
      <c r="D72" t="s">
        <v>169</v>
      </c>
      <c r="E72">
        <v>0</v>
      </c>
      <c r="F72" t="str">
        <f>IF(C72="","",IF(OR(COUNTIF($C:$C,C72)&gt;1,COUNTIF(Prensa!C:C,C72)+COUNTIF(Carga!C:C,C72)+COUNTIF(Escolha41!C:C,C72)+COUNTIF(Escolha43!C:C,C72)-COUNTIF($C:$C,C72)&gt;0),"CONFLITO","OK"))</f>
        <v>OK</v>
      </c>
      <c r="G72" t="s">
        <v>143</v>
      </c>
      <c r="H72" t="s">
        <v>1</v>
      </c>
      <c r="I72" t="s">
        <v>144</v>
      </c>
      <c r="J72" t="s">
        <v>145</v>
      </c>
      <c r="K72">
        <v>0</v>
      </c>
    </row>
    <row r="73" spans="1:11" x14ac:dyDescent="0.25">
      <c r="A73" t="s">
        <v>161</v>
      </c>
      <c r="B73" t="s">
        <v>14</v>
      </c>
      <c r="C73" t="s">
        <v>162</v>
      </c>
      <c r="D73" t="s">
        <v>163</v>
      </c>
      <c r="E73">
        <v>0</v>
      </c>
      <c r="F73" t="str">
        <f>IF(C73="","",IF(OR(COUNTIF($C:$C,C73)&gt;1,COUNTIF(Prensa!C:C,C73)+COUNTIF(Carga!C:C,C73)+COUNTIF(Escolha41!C:C,C73)+COUNTIF(Escolha43!C:C,C73)-COUNTIF($C:$C,C73)&gt;0),"CONFLITO","OK"))</f>
        <v>OK</v>
      </c>
      <c r="G73" t="s">
        <v>146</v>
      </c>
      <c r="H73" t="s">
        <v>1</v>
      </c>
      <c r="I73" t="s">
        <v>147</v>
      </c>
      <c r="J73" t="s">
        <v>148</v>
      </c>
      <c r="K73">
        <v>0</v>
      </c>
    </row>
    <row r="74" spans="1:11" x14ac:dyDescent="0.25">
      <c r="A74" t="s">
        <v>72</v>
      </c>
      <c r="B74" t="s">
        <v>1</v>
      </c>
      <c r="C74" t="s">
        <v>73</v>
      </c>
      <c r="D74" t="s">
        <v>74</v>
      </c>
      <c r="E74">
        <v>0</v>
      </c>
      <c r="F74" t="str">
        <f>IF(C74="","",IF(OR(COUNTIF($C:$C,C74)&gt;1,COUNTIF(Prensa!C:C,C74)+COUNTIF(Carga!C:C,C74)+COUNTIF(Escolha41!C:C,C74)+COUNTIF(Escolha43!C:C,C74)-COUNTIF($C:$C,C74)&gt;0),"CONFLITO","OK"))</f>
        <v>OK</v>
      </c>
      <c r="G74" t="s">
        <v>149</v>
      </c>
      <c r="H74" t="s">
        <v>1</v>
      </c>
      <c r="I74" t="s">
        <v>150</v>
      </c>
      <c r="J74" t="s">
        <v>151</v>
      </c>
      <c r="K74">
        <v>0</v>
      </c>
    </row>
    <row r="75" spans="1:11" x14ac:dyDescent="0.25">
      <c r="A75" t="s">
        <v>84</v>
      </c>
      <c r="B75" t="s">
        <v>1</v>
      </c>
      <c r="C75" t="s">
        <v>85</v>
      </c>
      <c r="D75" t="s">
        <v>86</v>
      </c>
      <c r="E75">
        <v>0</v>
      </c>
      <c r="F75" t="str">
        <f>IF(C75="","",IF(OR(COUNTIF($C:$C,C75)&gt;1,COUNTIF(Prensa!C:C,C75)+COUNTIF(Carga!C:C,C75)+COUNTIF(Escolha41!C:C,C75)+COUNTIF(Escolha43!C:C,C75)-COUNTIF($C:$C,C75)&gt;0),"CONFLITO","OK"))</f>
        <v>OK</v>
      </c>
      <c r="G75" t="s">
        <v>380</v>
      </c>
      <c r="H75" t="s">
        <v>1</v>
      </c>
      <c r="I75" t="s">
        <v>309</v>
      </c>
      <c r="J75" t="s">
        <v>113</v>
      </c>
      <c r="K75">
        <v>0</v>
      </c>
    </row>
    <row r="76" spans="1:11" x14ac:dyDescent="0.25">
      <c r="A76" t="s">
        <v>380</v>
      </c>
      <c r="B76" t="s">
        <v>1</v>
      </c>
      <c r="C76" t="s">
        <v>309</v>
      </c>
      <c r="D76" t="s">
        <v>113</v>
      </c>
      <c r="E76">
        <v>0</v>
      </c>
      <c r="F76" t="str">
        <f>IF(C76="","",IF(OR(COUNTIF($C:$C,C76)&gt;1,COUNTIF(Prensa!C:C,C76)+COUNTIF(Carga!C:C,C76)+COUNTIF(Escolha41!C:C,C76)+COUNTIF(Escolha43!C:C,C76)-COUNTIF($C:$C,C76)&gt;0),"CONFLITO","OK"))</f>
        <v>OK</v>
      </c>
      <c r="G76" t="s">
        <v>111</v>
      </c>
      <c r="H76" t="s">
        <v>1</v>
      </c>
      <c r="I76" t="s">
        <v>112</v>
      </c>
      <c r="J76" t="s">
        <v>113</v>
      </c>
      <c r="K76">
        <v>0</v>
      </c>
    </row>
    <row r="77" spans="1:11" x14ac:dyDescent="0.25">
      <c r="A77" t="s">
        <v>111</v>
      </c>
      <c r="B77" t="s">
        <v>1</v>
      </c>
      <c r="C77" t="s">
        <v>112</v>
      </c>
      <c r="D77" t="s">
        <v>113</v>
      </c>
      <c r="E77">
        <v>0</v>
      </c>
      <c r="F77" t="str">
        <f>IF(C77="","",IF(OR(COUNTIF($C:$C,C77)&gt;1,COUNTIF(Prensa!C:C,C77)+COUNTIF(Carga!C:C,C77)+COUNTIF(Escolha41!C:C,C77)+COUNTIF(Escolha43!C:C,C77)-COUNTIF($C:$C,C77)&gt;0),"CONFLITO","OK"))</f>
        <v>OK</v>
      </c>
      <c r="G77" t="s">
        <v>114</v>
      </c>
      <c r="H77" t="s">
        <v>1</v>
      </c>
      <c r="I77" t="s">
        <v>115</v>
      </c>
      <c r="J77" t="s">
        <v>113</v>
      </c>
      <c r="K77">
        <v>0</v>
      </c>
    </row>
    <row r="78" spans="1:11" x14ac:dyDescent="0.25">
      <c r="A78" t="s">
        <v>114</v>
      </c>
      <c r="B78" t="s">
        <v>1</v>
      </c>
      <c r="C78" t="s">
        <v>115</v>
      </c>
      <c r="D78" t="s">
        <v>113</v>
      </c>
      <c r="E78">
        <v>0</v>
      </c>
      <c r="F78" t="str">
        <f>IF(C78="","",IF(OR(COUNTIF($C:$C,C78)&gt;1,COUNTIF(Prensa!C:C,C78)+COUNTIF(Carga!C:C,C78)+COUNTIF(Escolha41!C:C,C78)+COUNTIF(Escolha43!C:C,C78)-COUNTIF($C:$C,C78)&gt;0),"CONFLITO","OK"))</f>
        <v>OK</v>
      </c>
      <c r="G78" t="s">
        <v>183</v>
      </c>
      <c r="H78" t="s">
        <v>1</v>
      </c>
      <c r="I78" t="s">
        <v>184</v>
      </c>
      <c r="J78" t="s">
        <v>185</v>
      </c>
      <c r="K78">
        <v>0</v>
      </c>
    </row>
    <row r="79" spans="1:11" x14ac:dyDescent="0.25">
      <c r="A79" t="s">
        <v>128</v>
      </c>
      <c r="B79" t="s">
        <v>1</v>
      </c>
      <c r="C79" t="s">
        <v>129</v>
      </c>
      <c r="D79" t="s">
        <v>130</v>
      </c>
      <c r="E79">
        <v>0</v>
      </c>
      <c r="F79" t="str">
        <f>IF(C79="","",IF(OR(COUNTIF($C:$C,C79)&gt;1,COUNTIF(Prensa!C:C,C79)+COUNTIF(Carga!C:C,C79)+COUNTIF(Escolha41!C:C,C79)+COUNTIF(Escolha43!C:C,C79)-COUNTIF($C:$C,C79)&gt;0),"CONFLITO","OK"))</f>
        <v>OK</v>
      </c>
      <c r="G79" t="s">
        <v>194</v>
      </c>
      <c r="H79" t="s">
        <v>1</v>
      </c>
      <c r="I79" t="s">
        <v>195</v>
      </c>
      <c r="J79" t="s">
        <v>196</v>
      </c>
      <c r="K79">
        <v>0</v>
      </c>
    </row>
    <row r="80" spans="1:11" x14ac:dyDescent="0.25">
      <c r="A80" t="s">
        <v>134</v>
      </c>
      <c r="B80" t="s">
        <v>1</v>
      </c>
      <c r="C80" t="s">
        <v>135</v>
      </c>
      <c r="D80" t="s">
        <v>136</v>
      </c>
      <c r="E80">
        <v>0</v>
      </c>
      <c r="F80" t="str">
        <f>IF(C80="","",IF(OR(COUNTIF($C:$C,C80)&gt;1,COUNTIF(Prensa!C:C,C80)+COUNTIF(Carga!C:C,C80)+COUNTIF(Escolha41!C:C,C80)+COUNTIF(Escolha43!C:C,C80)-COUNTIF($C:$C,C80)&gt;0),"CONFLITO","OK"))</f>
        <v>OK</v>
      </c>
      <c r="G80" t="s">
        <v>191</v>
      </c>
      <c r="H80" t="s">
        <v>1</v>
      </c>
      <c r="I80" t="s">
        <v>192</v>
      </c>
      <c r="J80" t="s">
        <v>193</v>
      </c>
      <c r="K80">
        <v>0</v>
      </c>
    </row>
    <row r="81" spans="1:11" x14ac:dyDescent="0.25">
      <c r="A81" t="s">
        <v>140</v>
      </c>
      <c r="B81" t="s">
        <v>1</v>
      </c>
      <c r="C81" t="s">
        <v>141</v>
      </c>
      <c r="D81" t="s">
        <v>142</v>
      </c>
      <c r="E81">
        <v>0</v>
      </c>
      <c r="F81" t="str">
        <f>IF(C81="","",IF(OR(COUNTIF($C:$C,C81)&gt;1,COUNTIF(Prensa!C:C,C81)+COUNTIF(Carga!C:C,C81)+COUNTIF(Escolha41!C:C,C81)+COUNTIF(Escolha43!C:C,C81)-COUNTIF($C:$C,C81)&gt;0),"CONFLITO","OK"))</f>
        <v>OK</v>
      </c>
      <c r="G81" t="s">
        <v>400</v>
      </c>
      <c r="H81" t="s">
        <v>14</v>
      </c>
      <c r="I81" t="s">
        <v>326</v>
      </c>
      <c r="J81" t="s">
        <v>354</v>
      </c>
      <c r="K81">
        <v>0</v>
      </c>
    </row>
    <row r="82" spans="1:11" x14ac:dyDescent="0.25">
      <c r="A82" t="s">
        <v>143</v>
      </c>
      <c r="B82" t="s">
        <v>1</v>
      </c>
      <c r="C82" t="s">
        <v>144</v>
      </c>
      <c r="D82" t="s">
        <v>145</v>
      </c>
      <c r="E82">
        <v>0</v>
      </c>
      <c r="F82" t="str">
        <f>IF(C82="","",IF(OR(COUNTIF($C:$C,C82)&gt;1,COUNTIF(Prensa!C:C,C82)+COUNTIF(Carga!C:C,C82)+COUNTIF(Escolha41!C:C,C82)+COUNTIF(Escolha43!C:C,C82)-COUNTIF($C:$C,C82)&gt;0),"CONFLITO","OK"))</f>
        <v>OK</v>
      </c>
      <c r="G82" t="s">
        <v>248</v>
      </c>
      <c r="H82" t="s">
        <v>14</v>
      </c>
      <c r="I82" t="s">
        <v>311</v>
      </c>
      <c r="J82" t="s">
        <v>250</v>
      </c>
      <c r="K82">
        <v>0</v>
      </c>
    </row>
    <row r="83" spans="1:11" x14ac:dyDescent="0.25">
      <c r="A83" t="s">
        <v>146</v>
      </c>
      <c r="B83" t="s">
        <v>1</v>
      </c>
      <c r="C83" t="s">
        <v>147</v>
      </c>
      <c r="D83" t="s">
        <v>148</v>
      </c>
      <c r="E83">
        <v>0</v>
      </c>
      <c r="F83" t="str">
        <f>IF(C83="","",IF(OR(COUNTIF($C:$C,C83)&gt;1,COUNTIF(Prensa!C:C,C83)+COUNTIF(Carga!C:C,C83)+COUNTIF(Escolha41!C:C,C83)+COUNTIF(Escolha43!C:C,C83)-COUNTIF($C:$C,C83)&gt;0),"CONFLITO","OK"))</f>
        <v>OK</v>
      </c>
      <c r="G83" t="s">
        <v>54</v>
      </c>
      <c r="H83" t="s">
        <v>1</v>
      </c>
      <c r="I83" t="s">
        <v>8</v>
      </c>
      <c r="J83" t="s">
        <v>56</v>
      </c>
      <c r="K83">
        <v>0</v>
      </c>
    </row>
    <row r="84" spans="1:11" x14ac:dyDescent="0.25">
      <c r="A84" t="s">
        <v>149</v>
      </c>
      <c r="B84" t="s">
        <v>1</v>
      </c>
      <c r="C84" t="s">
        <v>150</v>
      </c>
      <c r="D84" t="s">
        <v>151</v>
      </c>
      <c r="E84">
        <v>0</v>
      </c>
      <c r="F84" t="str">
        <f>IF(C84="","",IF(OR(COUNTIF($C:$C,C84)&gt;1,COUNTIF(Prensa!C:C,C84)+COUNTIF(Carga!C:C,C84)+COUNTIF(Escolha41!C:C,C84)+COUNTIF(Escolha43!C:C,C84)-COUNTIF($C:$C,C84)&gt;0),"CONFLITO","OK"))</f>
        <v>OK</v>
      </c>
      <c r="G84" t="s">
        <v>57</v>
      </c>
      <c r="H84" t="s">
        <v>1</v>
      </c>
      <c r="I84" t="s">
        <v>2</v>
      </c>
      <c r="J84" t="s">
        <v>59</v>
      </c>
      <c r="K84">
        <v>0</v>
      </c>
    </row>
    <row r="85" spans="1:11" x14ac:dyDescent="0.25">
      <c r="A85" t="s">
        <v>248</v>
      </c>
      <c r="B85" t="s">
        <v>14</v>
      </c>
      <c r="C85" t="s">
        <v>311</v>
      </c>
      <c r="D85" t="s">
        <v>250</v>
      </c>
      <c r="E85">
        <v>0</v>
      </c>
      <c r="F85" t="str">
        <f>IF(C85="","",IF(OR(COUNTIF($C:$C,C85)&gt;1,COUNTIF(Prensa!C:C,C85)+COUNTIF(Carga!C:C,C85)+COUNTIF(Escolha41!C:C,C85)+COUNTIF(Escolha43!C:C,C85)-COUNTIF($C:$C,C85)&gt;0),"CONFLITO","OK"))</f>
        <v>OK</v>
      </c>
      <c r="G85" t="s">
        <v>90</v>
      </c>
      <c r="H85" t="s">
        <v>1</v>
      </c>
      <c r="I85" t="s">
        <v>517</v>
      </c>
      <c r="J85" t="s">
        <v>92</v>
      </c>
      <c r="K85">
        <v>0</v>
      </c>
    </row>
    <row r="86" spans="1:11" x14ac:dyDescent="0.25">
      <c r="A86" t="s">
        <v>406</v>
      </c>
      <c r="B86" t="s">
        <v>1</v>
      </c>
      <c r="C86" t="s">
        <v>578</v>
      </c>
      <c r="D86" t="s">
        <v>198</v>
      </c>
      <c r="E86">
        <v>0</v>
      </c>
      <c r="F86" t="str">
        <f>IF(C86="","",IF(OR(COUNTIF($C:$C,C86)&gt;1,COUNTIF(Prensa!C:C,C86)+COUNTIF(Carga!C:C,C86)+COUNTIF(Escolha41!C:C,C86)+COUNTIF(Escolha43!C:C,C86)-COUNTIF($C:$C,C86)&gt;0),"CONFLITO","OK"))</f>
        <v>OK</v>
      </c>
      <c r="G86" t="s">
        <v>96</v>
      </c>
      <c r="H86" t="s">
        <v>1</v>
      </c>
      <c r="I86" t="s">
        <v>519</v>
      </c>
      <c r="J86" t="s">
        <v>92</v>
      </c>
      <c r="K86">
        <v>0</v>
      </c>
    </row>
    <row r="87" spans="1:11" x14ac:dyDescent="0.25">
      <c r="A87" t="s">
        <v>96</v>
      </c>
      <c r="B87" t="s">
        <v>1</v>
      </c>
      <c r="C87" t="s">
        <v>97</v>
      </c>
      <c r="D87" t="s">
        <v>92</v>
      </c>
      <c r="E87">
        <v>0</v>
      </c>
      <c r="F87" t="str">
        <f>IF(C87="","",IF(OR(COUNTIF($C:$C,C87)&gt;1,COUNTIF(Prensa!C:C,C87)+COUNTIF(Carga!C:C,C87)+COUNTIF(Escolha41!C:C,C87)+COUNTIF(Escolha43!C:C,C87)-COUNTIF($C:$C,C87)&gt;0),"CONFLITO","OK"))</f>
        <v>OK</v>
      </c>
      <c r="G87" t="s">
        <v>107</v>
      </c>
      <c r="H87" t="s">
        <v>1</v>
      </c>
      <c r="I87" t="s">
        <v>523</v>
      </c>
      <c r="J87" t="s">
        <v>109</v>
      </c>
      <c r="K87">
        <v>0</v>
      </c>
    </row>
    <row r="88" spans="1:11" x14ac:dyDescent="0.25">
      <c r="A88" t="s">
        <v>107</v>
      </c>
      <c r="B88" t="s">
        <v>1</v>
      </c>
      <c r="C88" t="s">
        <v>108</v>
      </c>
      <c r="D88" t="s">
        <v>109</v>
      </c>
      <c r="E88">
        <v>0</v>
      </c>
      <c r="F88" t="str">
        <f>IF(C88="","",IF(OR(COUNTIF($C:$C,C88)&gt;1,COUNTIF(Prensa!C:C,C88)+COUNTIF(Carga!C:C,C88)+COUNTIF(Escolha41!C:C,C88)+COUNTIF(Escolha43!C:C,C88)-COUNTIF($C:$C,C88)&gt;0),"CONFLITO","OK"))</f>
        <v>OK</v>
      </c>
      <c r="G88" t="s">
        <v>178</v>
      </c>
      <c r="H88" t="s">
        <v>1</v>
      </c>
      <c r="I88" t="s">
        <v>179</v>
      </c>
      <c r="J88" t="s">
        <v>180</v>
      </c>
      <c r="K88">
        <v>0</v>
      </c>
    </row>
    <row r="89" spans="1:11" x14ac:dyDescent="0.25">
      <c r="A89" t="s">
        <v>90</v>
      </c>
      <c r="B89" t="s">
        <v>1</v>
      </c>
      <c r="C89" t="s">
        <v>91</v>
      </c>
      <c r="D89" t="s">
        <v>92</v>
      </c>
      <c r="E89">
        <v>0</v>
      </c>
      <c r="F89" t="str">
        <f>IF(C89="","",IF(OR(COUNTIF($C:$C,C89)&gt;1,COUNTIF(Prensa!C:C,C89)+COUNTIF(Carga!C:C,C89)+COUNTIF(Escolha41!C:C,C89)+COUNTIF(Escolha43!C:C,C89)-COUNTIF($C:$C,C89)&gt;0),"CONFLITO","OK"))</f>
        <v>OK</v>
      </c>
      <c r="G89" t="s">
        <v>66</v>
      </c>
      <c r="H89" t="s">
        <v>1</v>
      </c>
      <c r="I89" t="s">
        <v>524</v>
      </c>
      <c r="J89" t="s">
        <v>525</v>
      </c>
      <c r="K89">
        <v>0</v>
      </c>
    </row>
    <row r="90" spans="1:11" x14ac:dyDescent="0.25">
      <c r="A90" t="s">
        <v>66</v>
      </c>
      <c r="B90" t="s">
        <v>1</v>
      </c>
      <c r="C90" t="s">
        <v>67</v>
      </c>
      <c r="D90" t="s">
        <v>68</v>
      </c>
      <c r="E90">
        <v>0</v>
      </c>
      <c r="F90" t="str">
        <f>IF(C90="","",IF(OR(COUNTIF($C:$C,C90)&gt;1,COUNTIF(Prensa!C:C,C90)+COUNTIF(Carga!C:C,C90)+COUNTIF(Escolha41!C:C,C90)+COUNTIF(Escolha43!C:C,C90)-COUNTIF($C:$C,C90)&gt;0),"CONFLITO","OK"))</f>
        <v>OK</v>
      </c>
      <c r="G90" t="s">
        <v>188</v>
      </c>
      <c r="H90" t="s">
        <v>1</v>
      </c>
      <c r="I90" t="s">
        <v>293</v>
      </c>
      <c r="J90" t="s">
        <v>68</v>
      </c>
      <c r="K90">
        <v>0</v>
      </c>
    </row>
    <row r="91" spans="1:11" x14ac:dyDescent="0.25">
      <c r="A91" t="s">
        <v>110</v>
      </c>
      <c r="B91" t="s">
        <v>1</v>
      </c>
      <c r="C91" t="s">
        <v>579</v>
      </c>
      <c r="D91" t="s">
        <v>198</v>
      </c>
      <c r="E91">
        <v>0</v>
      </c>
      <c r="F91" t="str">
        <f>IF(C91="","",IF(OR(COUNTIF($C:$C,C91)&gt;1,COUNTIF(Prensa!C:C,C91)+COUNTIF(Carga!C:C,C91)+COUNTIF(Escolha41!C:C,C91)+COUNTIF(Escolha43!C:C,C91)-COUNTIF($C:$C,C91)&gt;0),"CONFLITO","OK"))</f>
        <v>OK</v>
      </c>
      <c r="G91" t="s">
        <v>110</v>
      </c>
      <c r="H91" t="s">
        <v>1</v>
      </c>
      <c r="I91" t="s">
        <v>189</v>
      </c>
      <c r="J91" t="s">
        <v>190</v>
      </c>
      <c r="K91">
        <v>0</v>
      </c>
    </row>
    <row r="92" spans="1:11" x14ac:dyDescent="0.25">
      <c r="A92" t="s">
        <v>170</v>
      </c>
      <c r="B92" t="s">
        <v>14</v>
      </c>
      <c r="C92" t="s">
        <v>643</v>
      </c>
      <c r="D92" t="s">
        <v>172</v>
      </c>
      <c r="E92">
        <v>0</v>
      </c>
      <c r="F92" t="str">
        <f>IF(C92="","",IF(OR(COUNTIF($C:$C,C92)&gt;1,COUNTIF(Prensa!C:C,C92)+COUNTIF(Carga!C:C,C92)+COUNTIF(Escolha41!C:C,C92)+COUNTIF(Escolha43!C:C,C92)-COUNTIF($C:$C,C92)&gt;0),"CONFLITO","OK"))</f>
        <v>OK</v>
      </c>
      <c r="G92" t="s">
        <v>406</v>
      </c>
      <c r="H92" t="s">
        <v>1</v>
      </c>
      <c r="I92" t="s">
        <v>197</v>
      </c>
      <c r="J92" t="s">
        <v>198</v>
      </c>
      <c r="K92">
        <v>0</v>
      </c>
    </row>
    <row r="93" spans="1:11" x14ac:dyDescent="0.25">
      <c r="G93" t="s">
        <v>170</v>
      </c>
      <c r="H93" t="s">
        <v>14</v>
      </c>
      <c r="I93" t="s">
        <v>171</v>
      </c>
      <c r="J93" t="s">
        <v>172</v>
      </c>
      <c r="K93">
        <v>0</v>
      </c>
    </row>
  </sheetData>
  <sortState xmlns:xlrd2="http://schemas.microsoft.com/office/spreadsheetml/2017/richdata2" ref="A1:F93">
    <sortCondition ref="A1:A93"/>
  </sortState>
  <phoneticPr fontId="1" type="noConversion"/>
  <conditionalFormatting sqref="C94">
    <cfRule type="expression" dxfId="9" priority="5">
      <formula>$F94="OK"</formula>
    </cfRule>
    <cfRule type="expression" dxfId="8" priority="6">
      <formula>$F94="CONFLITO"</formula>
    </cfRule>
  </conditionalFormatting>
  <conditionalFormatting sqref="C2:C93">
    <cfRule type="expression" dxfId="7" priority="3">
      <formula>$F2="OK"</formula>
    </cfRule>
    <cfRule type="expression" dxfId="6" priority="4">
      <formula>$F2="CONFLITO"</formula>
    </cfRule>
  </conditionalFormatting>
  <conditionalFormatting sqref="C1">
    <cfRule type="expression" dxfId="5" priority="1">
      <formula>$F1="OK"</formula>
    </cfRule>
    <cfRule type="expression" dxfId="4" priority="2">
      <formula>$F1="CONFLITO"</formula>
    </cfRule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topLeftCell="A26" workbookViewId="0">
      <selection activeCell="A3" sqref="A3:E35"/>
    </sheetView>
  </sheetViews>
  <sheetFormatPr defaultRowHeight="15" x14ac:dyDescent="0.25"/>
  <cols>
    <col min="1" max="1" width="15.140625" bestFit="1" customWidth="1"/>
    <col min="3" max="3" width="6.85546875" bestFit="1" customWidth="1"/>
    <col min="4" max="4" width="20.5703125" bestFit="1" customWidth="1"/>
    <col min="6" max="6" width="9.85546875" bestFit="1" customWidth="1"/>
  </cols>
  <sheetData>
    <row r="1" spans="1:6" x14ac:dyDescent="0.25">
      <c r="A1" t="s">
        <v>415</v>
      </c>
      <c r="B1" t="s">
        <v>1</v>
      </c>
      <c r="E1">
        <v>0</v>
      </c>
    </row>
    <row r="2" spans="1:6" x14ac:dyDescent="0.25">
      <c r="A2" t="s">
        <v>416</v>
      </c>
      <c r="B2" t="s">
        <v>14</v>
      </c>
      <c r="C2">
        <v>0</v>
      </c>
      <c r="E2">
        <v>0</v>
      </c>
      <c r="F2" t="str">
        <f>IF(C2="","",IF(OR(COUNTIF($C:$C,C2)&gt;1,COUNTIF(Prensa!C:C,C2)+COUNTIF(Carga!C:C,C2)+COUNTIF(Escolha41!C:C,C2)+COUNTIF(Escolha43!C:C,C2)-COUNTIF($C:$C,C2)&gt;0),"CONFLITO","OK"))</f>
        <v>OK</v>
      </c>
    </row>
    <row r="3" spans="1:6" x14ac:dyDescent="0.25">
      <c r="A3" t="s">
        <v>285</v>
      </c>
      <c r="B3" t="s">
        <v>1</v>
      </c>
      <c r="C3" t="s">
        <v>602</v>
      </c>
      <c r="D3" t="s">
        <v>285</v>
      </c>
      <c r="E3">
        <v>0</v>
      </c>
      <c r="F3" t="str">
        <f>IF(C3="","",IF(OR(COUNTIF($C:$C,C3)&gt;1,COUNTIF(Prensa!C:C,C3)+COUNTIF(Carga!C:C,C3)+COUNTIF(Escolha41!C:C,C3)+COUNTIF(Escolha43!C:C,C3)-COUNTIF($C:$C,C3)&gt;0),"CONFLITO","OK"))</f>
        <v>OK</v>
      </c>
    </row>
    <row r="4" spans="1:6" x14ac:dyDescent="0.25">
      <c r="A4" t="s">
        <v>286</v>
      </c>
      <c r="B4" t="s">
        <v>1</v>
      </c>
      <c r="C4" t="s">
        <v>603</v>
      </c>
      <c r="D4" t="s">
        <v>286</v>
      </c>
      <c r="E4">
        <v>0</v>
      </c>
      <c r="F4" t="str">
        <f>IF(C4="","",IF(OR(COUNTIF($C:$C,C4)&gt;1,COUNTIF(Prensa!C:C,C4)+COUNTIF(Carga!C:C,C4)+COUNTIF(Escolha41!C:C,C4)+COUNTIF(Escolha43!C:C,C4)-COUNTIF($C:$C,C4)&gt;0),"CONFLITO","OK"))</f>
        <v>OK</v>
      </c>
    </row>
    <row r="5" spans="1:6" x14ac:dyDescent="0.25">
      <c r="A5" t="s">
        <v>287</v>
      </c>
      <c r="B5" t="s">
        <v>1</v>
      </c>
      <c r="C5" t="s">
        <v>604</v>
      </c>
      <c r="D5" t="s">
        <v>287</v>
      </c>
      <c r="E5">
        <v>0</v>
      </c>
      <c r="F5" t="str">
        <f>IF(C5="","",IF(OR(COUNTIF($C:$C,C5)&gt;1,COUNTIF(Prensa!C:C,C5)+COUNTIF(Carga!C:C,C5)+COUNTIF(Escolha41!C:C,C5)+COUNTIF(Escolha43!C:C,C5)-COUNTIF($C:$C,C5)&gt;0),"CONFLITO","OK"))</f>
        <v>OK</v>
      </c>
    </row>
    <row r="6" spans="1:6" x14ac:dyDescent="0.25">
      <c r="A6" t="s">
        <v>288</v>
      </c>
      <c r="B6" t="s">
        <v>1</v>
      </c>
      <c r="C6" t="s">
        <v>605</v>
      </c>
      <c r="D6" t="s">
        <v>288</v>
      </c>
      <c r="E6">
        <v>0</v>
      </c>
      <c r="F6" t="str">
        <f>IF(C6="","",IF(OR(COUNTIF($C:$C,C6)&gt;1,COUNTIF(Prensa!C:C,C6)+COUNTIF(Carga!C:C,C6)+COUNTIF(Escolha41!C:C,C6)+COUNTIF(Escolha43!C:C,C6)-COUNTIF($C:$C,C6)&gt;0),"CONFLITO","OK"))</f>
        <v>OK</v>
      </c>
    </row>
    <row r="7" spans="1:6" x14ac:dyDescent="0.25">
      <c r="A7" t="s">
        <v>290</v>
      </c>
      <c r="B7" t="s">
        <v>1</v>
      </c>
      <c r="C7" t="s">
        <v>606</v>
      </c>
      <c r="D7" t="s">
        <v>290</v>
      </c>
      <c r="E7">
        <v>0</v>
      </c>
      <c r="F7" t="str">
        <f>IF(C7="","",IF(OR(COUNTIF($C:$C,C7)&gt;1,COUNTIF(Prensa!C:C,C7)+COUNTIF(Carga!C:C,C7)+COUNTIF(Escolha41!C:C,C7)+COUNTIF(Escolha43!C:C,C7)-COUNTIF($C:$C,C7)&gt;0),"CONFLITO","OK"))</f>
        <v>OK</v>
      </c>
    </row>
    <row r="8" spans="1:6" x14ac:dyDescent="0.25">
      <c r="A8" t="s">
        <v>292</v>
      </c>
      <c r="B8" t="s">
        <v>1</v>
      </c>
      <c r="C8" t="s">
        <v>607</v>
      </c>
      <c r="D8" t="s">
        <v>292</v>
      </c>
      <c r="E8">
        <v>0</v>
      </c>
      <c r="F8" t="str">
        <f>IF(C8="","",IF(OR(COUNTIF($C:$C,C8)&gt;1,COUNTIF(Prensa!C:C,C8)+COUNTIF(Carga!C:C,C8)+COUNTIF(Escolha41!C:C,C8)+COUNTIF(Escolha43!C:C,C8)-COUNTIF($C:$C,C8)&gt;0),"CONFLITO","OK"))</f>
        <v>OK</v>
      </c>
    </row>
    <row r="9" spans="1:6" x14ac:dyDescent="0.25">
      <c r="A9" t="s">
        <v>294</v>
      </c>
      <c r="B9" t="s">
        <v>1</v>
      </c>
      <c r="C9" t="s">
        <v>608</v>
      </c>
      <c r="D9" t="s">
        <v>294</v>
      </c>
      <c r="E9">
        <v>0</v>
      </c>
      <c r="F9" t="str">
        <f>IF(C9="","",IF(OR(COUNTIF($C:$C,C9)&gt;1,COUNTIF(Prensa!C:C,C9)+COUNTIF(Carga!C:C,C9)+COUNTIF(Escolha41!C:C,C9)+COUNTIF(Escolha43!C:C,C9)-COUNTIF($C:$C,C9)&gt;0),"CONFLITO","OK"))</f>
        <v>OK</v>
      </c>
    </row>
    <row r="10" spans="1:6" x14ac:dyDescent="0.25">
      <c r="A10" t="s">
        <v>296</v>
      </c>
      <c r="B10" t="s">
        <v>1</v>
      </c>
      <c r="C10" t="s">
        <v>609</v>
      </c>
      <c r="D10" t="s">
        <v>298</v>
      </c>
      <c r="E10">
        <v>0</v>
      </c>
      <c r="F10" t="str">
        <f>IF(C10="","",IF(OR(COUNTIF($C:$C,C10)&gt;1,COUNTIF(Prensa!C:C,C10)+COUNTIF(Carga!C:C,C10)+COUNTIF(Escolha41!C:C,C10)+COUNTIF(Escolha43!C:C,C10)-COUNTIF($C:$C,C10)&gt;0),"CONFLITO","OK"))</f>
        <v>OK</v>
      </c>
    </row>
    <row r="11" spans="1:6" x14ac:dyDescent="0.25">
      <c r="A11" t="s">
        <v>299</v>
      </c>
      <c r="B11" t="s">
        <v>1</v>
      </c>
      <c r="C11" t="s">
        <v>610</v>
      </c>
      <c r="D11" t="s">
        <v>301</v>
      </c>
      <c r="E11">
        <v>0</v>
      </c>
      <c r="F11" t="str">
        <f>IF(C11="","",IF(OR(COUNTIF($C:$C,C11)&gt;1,COUNTIF(Prensa!C:C,C11)+COUNTIF(Carga!C:C,C11)+COUNTIF(Escolha41!C:C,C11)+COUNTIF(Escolha43!C:C,C11)-COUNTIF($C:$C,C11)&gt;0),"CONFLITO","OK"))</f>
        <v>OK</v>
      </c>
    </row>
    <row r="12" spans="1:6" x14ac:dyDescent="0.25">
      <c r="A12" t="s">
        <v>302</v>
      </c>
      <c r="B12" t="s">
        <v>1</v>
      </c>
      <c r="C12" t="s">
        <v>611</v>
      </c>
      <c r="D12" t="s">
        <v>304</v>
      </c>
      <c r="E12">
        <v>0</v>
      </c>
      <c r="F12" t="str">
        <f>IF(C12="","",IF(OR(COUNTIF($C:$C,C12)&gt;1,COUNTIF(Prensa!C:C,C12)+COUNTIF(Carga!C:C,C12)+COUNTIF(Escolha41!C:C,C12)+COUNTIF(Escolha43!C:C,C12)-COUNTIF($C:$C,C12)&gt;0),"CONFLITO","OK"))</f>
        <v>OK</v>
      </c>
    </row>
    <row r="13" spans="1:6" x14ac:dyDescent="0.25">
      <c r="A13" t="s">
        <v>305</v>
      </c>
      <c r="B13" t="s">
        <v>1</v>
      </c>
      <c r="C13" t="s">
        <v>612</v>
      </c>
      <c r="E13">
        <v>0</v>
      </c>
      <c r="F13" t="str">
        <f>IF(C13="","",IF(OR(COUNTIF($C:$C,C13)&gt;1,COUNTIF(Prensa!C:C,C13)+COUNTIF(Carga!C:C,C13)+COUNTIF(Escolha41!C:C,C13)+COUNTIF(Escolha43!C:C,C13)-COUNTIF($C:$C,C13)&gt;0),"CONFLITO","OK"))</f>
        <v>OK</v>
      </c>
    </row>
    <row r="14" spans="1:6" x14ac:dyDescent="0.25">
      <c r="A14" t="s">
        <v>225</v>
      </c>
      <c r="B14" t="s">
        <v>14</v>
      </c>
      <c r="C14" t="s">
        <v>159</v>
      </c>
      <c r="D14" t="s">
        <v>227</v>
      </c>
      <c r="E14">
        <v>0</v>
      </c>
      <c r="F14" t="str">
        <f>IF(C14="","",IF(OR(COUNTIF($C:$C,C14)&gt;1,COUNTIF(Prensa!C:C,C14)+COUNTIF(Carga!C:C,C14)+COUNTIF(Escolha41!C:C,C14)+COUNTIF(Escolha43!C:C,C14)-COUNTIF($C:$C,C14)&gt;0),"CONFLITO","OK"))</f>
        <v>OK</v>
      </c>
    </row>
    <row r="15" spans="1:6" x14ac:dyDescent="0.25">
      <c r="A15" t="s">
        <v>228</v>
      </c>
      <c r="B15" t="s">
        <v>14</v>
      </c>
      <c r="C15" t="s">
        <v>581</v>
      </c>
      <c r="D15" t="s">
        <v>229</v>
      </c>
      <c r="E15">
        <v>0</v>
      </c>
      <c r="F15" t="str">
        <f>IF(C15="","",IF(OR(COUNTIF($C:$C,C15)&gt;1,COUNTIF(Prensa!C:C,C15)+COUNTIF(Carga!C:C,C15)+COUNTIF(Escolha41!C:C,C15)+COUNTIF(Escolha43!C:C,C15)-COUNTIF($C:$C,C15)&gt;0),"CONFLITO","OK"))</f>
        <v>OK</v>
      </c>
    </row>
    <row r="16" spans="1:6" x14ac:dyDescent="0.25">
      <c r="A16" t="s">
        <v>230</v>
      </c>
      <c r="B16" t="s">
        <v>14</v>
      </c>
      <c r="C16" t="s">
        <v>582</v>
      </c>
      <c r="D16" t="s">
        <v>231</v>
      </c>
      <c r="E16">
        <v>0</v>
      </c>
      <c r="F16" t="str">
        <f>IF(C16="","",IF(OR(COUNTIF($C:$C,C16)&gt;1,COUNTIF(Prensa!C:C,C16)+COUNTIF(Carga!C:C,C16)+COUNTIF(Escolha41!C:C,C16)+COUNTIF(Escolha43!C:C,C16)-COUNTIF($C:$C,C16)&gt;0),"CONFLITO","OK"))</f>
        <v>OK</v>
      </c>
    </row>
    <row r="17" spans="1:6" x14ac:dyDescent="0.25">
      <c r="A17" t="s">
        <v>232</v>
      </c>
      <c r="B17" t="s">
        <v>14</v>
      </c>
      <c r="C17" t="s">
        <v>583</v>
      </c>
      <c r="D17" t="s">
        <v>233</v>
      </c>
      <c r="E17">
        <v>0</v>
      </c>
      <c r="F17" t="str">
        <f>IF(C17="","",IF(OR(COUNTIF($C:$C,C17)&gt;1,COUNTIF(Prensa!C:C,C17)+COUNTIF(Carga!C:C,C17)+COUNTIF(Escolha41!C:C,C17)+COUNTIF(Escolha43!C:C,C17)-COUNTIF($C:$C,C17)&gt;0),"CONFLITO","OK"))</f>
        <v>OK</v>
      </c>
    </row>
    <row r="18" spans="1:6" x14ac:dyDescent="0.25">
      <c r="A18" t="s">
        <v>234</v>
      </c>
      <c r="B18" t="s">
        <v>14</v>
      </c>
      <c r="C18" t="s">
        <v>584</v>
      </c>
      <c r="D18" t="s">
        <v>235</v>
      </c>
      <c r="E18">
        <v>0</v>
      </c>
      <c r="F18" t="str">
        <f>IF(C18="","",IF(OR(COUNTIF($C:$C,C18)&gt;1,COUNTIF(Prensa!C:C,C18)+COUNTIF(Carga!C:C,C18)+COUNTIF(Escolha41!C:C,C18)+COUNTIF(Escolha43!C:C,C18)-COUNTIF($C:$C,C18)&gt;0),"CONFLITO","OK"))</f>
        <v>OK</v>
      </c>
    </row>
    <row r="19" spans="1:6" x14ac:dyDescent="0.25">
      <c r="A19" t="s">
        <v>236</v>
      </c>
      <c r="B19" t="s">
        <v>14</v>
      </c>
      <c r="C19" t="s">
        <v>585</v>
      </c>
      <c r="D19" t="s">
        <v>238</v>
      </c>
      <c r="E19">
        <v>0</v>
      </c>
      <c r="F19" t="str">
        <f>IF(C19="","",IF(OR(COUNTIF($C:$C,C19)&gt;1,COUNTIF(Prensa!C:C,C19)+COUNTIF(Carga!C:C,C19)+COUNTIF(Escolha41!C:C,C19)+COUNTIF(Escolha43!C:C,C19)-COUNTIF($C:$C,C19)&gt;0),"CONFLITO","OK"))</f>
        <v>OK</v>
      </c>
    </row>
    <row r="20" spans="1:6" x14ac:dyDescent="0.25">
      <c r="A20" t="s">
        <v>239</v>
      </c>
      <c r="B20" t="s">
        <v>14</v>
      </c>
      <c r="C20" t="s">
        <v>586</v>
      </c>
      <c r="D20" t="s">
        <v>241</v>
      </c>
      <c r="E20">
        <v>0</v>
      </c>
      <c r="F20" t="str">
        <f>IF(C20="","",IF(OR(COUNTIF($C:$C,C20)&gt;1,COUNTIF(Prensa!C:C,C20)+COUNTIF(Carga!C:C,C20)+COUNTIF(Escolha41!C:C,C20)+COUNTIF(Escolha43!C:C,C20)-COUNTIF($C:$C,C20)&gt;0),"CONFLITO","OK"))</f>
        <v>OK</v>
      </c>
    </row>
    <row r="21" spans="1:6" x14ac:dyDescent="0.25">
      <c r="A21" t="s">
        <v>242</v>
      </c>
      <c r="B21" t="s">
        <v>14</v>
      </c>
      <c r="C21" t="s">
        <v>587</v>
      </c>
      <c r="D21" t="s">
        <v>244</v>
      </c>
      <c r="E21">
        <v>0</v>
      </c>
      <c r="F21" t="str">
        <f>IF(C21="","",IF(OR(COUNTIF($C:$C,C21)&gt;1,COUNTIF(Prensa!C:C,C21)+COUNTIF(Carga!C:C,C21)+COUNTIF(Escolha41!C:C,C21)+COUNTIF(Escolha43!C:C,C21)-COUNTIF($C:$C,C21)&gt;0),"CONFLITO","OK"))</f>
        <v>OK</v>
      </c>
    </row>
    <row r="22" spans="1:6" x14ac:dyDescent="0.25">
      <c r="A22" t="s">
        <v>245</v>
      </c>
      <c r="B22" t="s">
        <v>14</v>
      </c>
      <c r="C22" t="s">
        <v>588</v>
      </c>
      <c r="D22" t="s">
        <v>247</v>
      </c>
      <c r="E22">
        <v>0</v>
      </c>
      <c r="F22" t="str">
        <f>IF(C22="","",IF(OR(COUNTIF($C:$C,C22)&gt;1,COUNTIF(Prensa!C:C,C22)+COUNTIF(Carga!C:C,C22)+COUNTIF(Escolha41!C:C,C22)+COUNTIF(Escolha43!C:C,C22)-COUNTIF($C:$C,C22)&gt;0),"CONFLITO","OK"))</f>
        <v>OK</v>
      </c>
    </row>
    <row r="23" spans="1:6" x14ac:dyDescent="0.25">
      <c r="A23" t="s">
        <v>248</v>
      </c>
      <c r="B23" t="s">
        <v>14</v>
      </c>
      <c r="C23" t="s">
        <v>589</v>
      </c>
      <c r="D23" t="s">
        <v>250</v>
      </c>
      <c r="E23">
        <v>0</v>
      </c>
      <c r="F23" t="str">
        <f>IF(C23="","",IF(OR(COUNTIF($C:$C,C23)&gt;1,COUNTIF(Prensa!C:C,C23)+COUNTIF(Carga!C:C,C23)+COUNTIF(Escolha41!C:C,C23)+COUNTIF(Escolha43!C:C,C23)-COUNTIF($C:$C,C23)&gt;0),"CONFLITO","OK"))</f>
        <v>OK</v>
      </c>
    </row>
    <row r="24" spans="1:6" x14ac:dyDescent="0.25">
      <c r="A24" t="s">
        <v>251</v>
      </c>
      <c r="B24" t="s">
        <v>14</v>
      </c>
      <c r="C24" t="s">
        <v>590</v>
      </c>
      <c r="D24" t="s">
        <v>253</v>
      </c>
      <c r="E24">
        <v>0</v>
      </c>
      <c r="F24" t="str">
        <f>IF(C24="","",IF(OR(COUNTIF($C:$C,C24)&gt;1,COUNTIF(Prensa!C:C,C24)+COUNTIF(Carga!C:C,C24)+COUNTIF(Escolha41!C:C,C24)+COUNTIF(Escolha43!C:C,C24)-COUNTIF($C:$C,C24)&gt;0),"CONFLITO","OK"))</f>
        <v>OK</v>
      </c>
    </row>
    <row r="25" spans="1:6" x14ac:dyDescent="0.25">
      <c r="A25" t="s">
        <v>254</v>
      </c>
      <c r="B25" t="s">
        <v>14</v>
      </c>
      <c r="C25" t="s">
        <v>591</v>
      </c>
      <c r="D25" t="s">
        <v>256</v>
      </c>
      <c r="E25">
        <v>0</v>
      </c>
      <c r="F25" t="str">
        <f>IF(C25="","",IF(OR(COUNTIF($C:$C,C25)&gt;1,COUNTIF(Prensa!C:C,C25)+COUNTIF(Carga!C:C,C25)+COUNTIF(Escolha41!C:C,C25)+COUNTIF(Escolha43!C:C,C25)-COUNTIF($C:$C,C25)&gt;0),"CONFLITO","OK"))</f>
        <v>OK</v>
      </c>
    </row>
    <row r="26" spans="1:6" x14ac:dyDescent="0.25">
      <c r="A26" t="s">
        <v>257</v>
      </c>
      <c r="B26" t="s">
        <v>14</v>
      </c>
      <c r="C26" t="s">
        <v>592</v>
      </c>
      <c r="D26" t="s">
        <v>259</v>
      </c>
      <c r="E26">
        <v>0</v>
      </c>
      <c r="F26" t="str">
        <f>IF(C26="","",IF(OR(COUNTIF($C:$C,C26)&gt;1,COUNTIF(Prensa!C:C,C26)+COUNTIF(Carga!C:C,C26)+COUNTIF(Escolha41!C:C,C26)+COUNTIF(Escolha43!C:C,C26)-COUNTIF($C:$C,C26)&gt;0),"CONFLITO","OK"))</f>
        <v>OK</v>
      </c>
    </row>
    <row r="27" spans="1:6" x14ac:dyDescent="0.25">
      <c r="A27" t="s">
        <v>260</v>
      </c>
      <c r="B27" t="s">
        <v>14</v>
      </c>
      <c r="C27" t="s">
        <v>593</v>
      </c>
      <c r="D27" t="s">
        <v>262</v>
      </c>
      <c r="E27">
        <v>0</v>
      </c>
      <c r="F27" t="str">
        <f>IF(C27="","",IF(OR(COUNTIF($C:$C,C27)&gt;1,COUNTIF(Prensa!C:C,C27)+COUNTIF(Carga!C:C,C27)+COUNTIF(Escolha41!C:C,C27)+COUNTIF(Escolha43!C:C,C27)-COUNTIF($C:$C,C27)&gt;0),"CONFLITO","OK"))</f>
        <v>OK</v>
      </c>
    </row>
    <row r="28" spans="1:6" x14ac:dyDescent="0.25">
      <c r="A28" t="s">
        <v>158</v>
      </c>
      <c r="B28" t="s">
        <v>14</v>
      </c>
      <c r="C28" t="s">
        <v>594</v>
      </c>
      <c r="D28" t="s">
        <v>264</v>
      </c>
      <c r="E28">
        <v>0</v>
      </c>
      <c r="F28" t="str">
        <f>IF(C28="","",IF(OR(COUNTIF($C:$C,C28)&gt;1,COUNTIF(Prensa!C:C,C28)+COUNTIF(Carga!C:C,C28)+COUNTIF(Escolha41!C:C,C28)+COUNTIF(Escolha43!C:C,C28)-COUNTIF($C:$C,C28)&gt;0),"CONFLITO","OK"))</f>
        <v>OK</v>
      </c>
    </row>
    <row r="29" spans="1:6" x14ac:dyDescent="0.25">
      <c r="A29" t="s">
        <v>265</v>
      </c>
      <c r="B29" t="s">
        <v>14</v>
      </c>
      <c r="C29" t="s">
        <v>595</v>
      </c>
      <c r="D29" t="s">
        <v>267</v>
      </c>
      <c r="E29">
        <v>0</v>
      </c>
      <c r="F29" t="str">
        <f>IF(C29="","",IF(OR(COUNTIF($C:$C,C29)&gt;1,COUNTIF(Prensa!C:C,C29)+COUNTIF(Carga!C:C,C29)+COUNTIF(Escolha41!C:C,C29)+COUNTIF(Escolha43!C:C,C29)-COUNTIF($C:$C,C29)&gt;0),"CONFLITO","OK"))</f>
        <v>OK</v>
      </c>
    </row>
    <row r="30" spans="1:6" x14ac:dyDescent="0.25">
      <c r="A30" t="s">
        <v>268</v>
      </c>
      <c r="B30" t="s">
        <v>14</v>
      </c>
      <c r="C30" t="s">
        <v>596</v>
      </c>
      <c r="D30" t="s">
        <v>270</v>
      </c>
      <c r="E30">
        <v>0</v>
      </c>
      <c r="F30" t="str">
        <f>IF(C30="","",IF(OR(COUNTIF($C:$C,C30)&gt;1,COUNTIF(Prensa!C:C,C30)+COUNTIF(Carga!C:C,C30)+COUNTIF(Escolha41!C:C,C30)+COUNTIF(Escolha43!C:C,C30)-COUNTIF($C:$C,C30)&gt;0),"CONFLITO","OK"))</f>
        <v>OK</v>
      </c>
    </row>
    <row r="31" spans="1:6" x14ac:dyDescent="0.25">
      <c r="A31" t="s">
        <v>271</v>
      </c>
      <c r="B31" t="s">
        <v>14</v>
      </c>
      <c r="C31" t="s">
        <v>597</v>
      </c>
      <c r="D31" t="s">
        <v>273</v>
      </c>
      <c r="E31">
        <v>0</v>
      </c>
      <c r="F31" t="str">
        <f>IF(C31="","",IF(OR(COUNTIF($C:$C,C31)&gt;1,COUNTIF(Prensa!C:C,C31)+COUNTIF(Carga!C:C,C31)+COUNTIF(Escolha41!C:C,C31)+COUNTIF(Escolha43!C:C,C31)-COUNTIF($C:$C,C31)&gt;0),"CONFLITO","OK"))</f>
        <v>OK</v>
      </c>
    </row>
    <row r="32" spans="1:6" x14ac:dyDescent="0.25">
      <c r="A32" t="s">
        <v>274</v>
      </c>
      <c r="B32" t="s">
        <v>14</v>
      </c>
      <c r="C32" t="s">
        <v>598</v>
      </c>
      <c r="D32" t="s">
        <v>276</v>
      </c>
      <c r="E32">
        <v>0</v>
      </c>
      <c r="F32" t="str">
        <f>IF(C32="","",IF(OR(COUNTIF($C:$C,C32)&gt;1,COUNTIF(Prensa!C:C,C32)+COUNTIF(Carga!C:C,C32)+COUNTIF(Escolha41!C:C,C32)+COUNTIF(Escolha43!C:C,C32)-COUNTIF($C:$C,C32)&gt;0),"CONFLITO","OK"))</f>
        <v>OK</v>
      </c>
    </row>
    <row r="33" spans="1:6" x14ac:dyDescent="0.25">
      <c r="A33" t="s">
        <v>277</v>
      </c>
      <c r="B33" t="s">
        <v>14</v>
      </c>
      <c r="C33" t="s">
        <v>599</v>
      </c>
      <c r="D33" t="s">
        <v>279</v>
      </c>
      <c r="E33">
        <v>0</v>
      </c>
      <c r="F33" t="str">
        <f>IF(C33="","",IF(OR(COUNTIF($C:$C,C33)&gt;1,COUNTIF(Prensa!C:C,C33)+COUNTIF(Carga!C:C,C33)+COUNTIF(Escolha41!C:C,C33)+COUNTIF(Escolha43!C:C,C33)-COUNTIF($C:$C,C33)&gt;0),"CONFLITO","OK"))</f>
        <v>OK</v>
      </c>
    </row>
    <row r="34" spans="1:6" x14ac:dyDescent="0.25">
      <c r="A34" t="s">
        <v>280</v>
      </c>
      <c r="B34" t="s">
        <v>14</v>
      </c>
      <c r="C34" t="s">
        <v>600</v>
      </c>
      <c r="D34" t="s">
        <v>282</v>
      </c>
      <c r="E34">
        <v>0</v>
      </c>
      <c r="F34" t="str">
        <f>IF(C34="","",IF(OR(COUNTIF($C:$C,C34)&gt;1,COUNTIF(Prensa!C:C,C34)+COUNTIF(Carga!C:C,C34)+COUNTIF(Escolha41!C:C,C34)+COUNTIF(Escolha43!C:C,C34)-COUNTIF($C:$C,C34)&gt;0),"CONFLITO","OK"))</f>
        <v>OK</v>
      </c>
    </row>
    <row r="35" spans="1:6" x14ac:dyDescent="0.25">
      <c r="A35" t="s">
        <v>283</v>
      </c>
      <c r="B35" t="s">
        <v>1</v>
      </c>
      <c r="C35" t="s">
        <v>601</v>
      </c>
      <c r="D35" t="s">
        <v>284</v>
      </c>
      <c r="E35">
        <v>0</v>
      </c>
      <c r="F35" t="str">
        <f>IF(C35="","",IF(OR(COUNTIF($C:$C,C35)&gt;1,COUNTIF(Prensa!C:C,C35)+COUNTIF(Carga!C:C,C35)+COUNTIF(Escolha41!C:C,C35)+COUNTIF(Escolha43!C:C,C35)-COUNTIF($C:$C,C35)&gt;0),"CONFLITO","OK"))</f>
        <v>OK</v>
      </c>
    </row>
  </sheetData>
  <conditionalFormatting sqref="C3:C94">
    <cfRule type="expression" dxfId="3" priority="1">
      <formula>$F3="OK"</formula>
    </cfRule>
    <cfRule type="expression" dxfId="2" priority="2">
      <formula>$F3="CONFLITO"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"/>
  <sheetViews>
    <sheetView workbookViewId="0">
      <selection activeCell="H9" sqref="H9"/>
    </sheetView>
  </sheetViews>
  <sheetFormatPr defaultRowHeight="15" x14ac:dyDescent="0.25"/>
  <cols>
    <col min="1" max="1" width="15.140625" bestFit="1" customWidth="1"/>
    <col min="6" max="6" width="9.85546875" bestFit="1" customWidth="1"/>
    <col min="8" max="8" width="15.140625" bestFit="1" customWidth="1"/>
    <col min="11" max="11" width="16.140625" customWidth="1"/>
  </cols>
  <sheetData>
    <row r="1" spans="1:12" x14ac:dyDescent="0.25">
      <c r="A1" t="s">
        <v>415</v>
      </c>
      <c r="B1" t="s">
        <v>1</v>
      </c>
      <c r="E1">
        <v>0</v>
      </c>
      <c r="H1" t="s">
        <v>415</v>
      </c>
      <c r="I1" t="s">
        <v>1</v>
      </c>
      <c r="L1">
        <v>0</v>
      </c>
    </row>
    <row r="2" spans="1:12" x14ac:dyDescent="0.25">
      <c r="A2" t="s">
        <v>416</v>
      </c>
      <c r="B2" t="s">
        <v>14</v>
      </c>
      <c r="E2">
        <v>0</v>
      </c>
      <c r="F2" t="str">
        <f>IF(OR(COUNTIF(C:C,C2)&gt;1,COUNTIF(Prensa!C:C,C2)&gt;0,COUNTIF(Carga!C:C,C2)&gt;0,COUNTIF(Escolha41!C:C,C2)&gt;0),"CONFLITO","OK")</f>
        <v>CONFLITO</v>
      </c>
      <c r="H2" t="s">
        <v>416</v>
      </c>
      <c r="I2" t="s">
        <v>14</v>
      </c>
      <c r="L2">
        <v>0</v>
      </c>
    </row>
    <row r="3" spans="1:12" x14ac:dyDescent="0.25">
      <c r="A3" t="s">
        <v>285</v>
      </c>
      <c r="B3" t="s">
        <v>1</v>
      </c>
      <c r="C3" t="s">
        <v>613</v>
      </c>
      <c r="D3" t="s">
        <v>285</v>
      </c>
      <c r="E3">
        <v>0</v>
      </c>
      <c r="F3" t="str">
        <f>IF(OR(COUNTIF(C:C,C3)&gt;1,COUNTIF(Prensa!C:C,C3)&gt;0,COUNTIF(Carga!C:C,C3)&gt;0,COUNTIF(Escolha41!C:C,C3)&gt;0),"CONFLITO","OK")</f>
        <v>OK</v>
      </c>
      <c r="H3" t="s">
        <v>285</v>
      </c>
      <c r="I3" t="s">
        <v>1</v>
      </c>
      <c r="J3" t="s">
        <v>5</v>
      </c>
      <c r="K3" t="s">
        <v>285</v>
      </c>
      <c r="L3">
        <v>0</v>
      </c>
    </row>
    <row r="4" spans="1:12" x14ac:dyDescent="0.25">
      <c r="A4" t="s">
        <v>286</v>
      </c>
      <c r="B4" t="s">
        <v>1</v>
      </c>
      <c r="C4" t="s">
        <v>615</v>
      </c>
      <c r="D4" t="s">
        <v>286</v>
      </c>
      <c r="E4">
        <v>0</v>
      </c>
      <c r="F4" t="str">
        <f>IF(OR(COUNTIF(C:C,C4)&gt;1,COUNTIF(Prensa!C:C,C4)&gt;0,COUNTIF(Carga!C:C,C4)&gt;0,COUNTIF(Escolha41!C:C,C4)&gt;0),"CONFLITO","OK")</f>
        <v>OK</v>
      </c>
      <c r="H4" t="s">
        <v>286</v>
      </c>
      <c r="I4" t="s">
        <v>1</v>
      </c>
      <c r="J4" t="s">
        <v>8</v>
      </c>
      <c r="K4" t="s">
        <v>286</v>
      </c>
      <c r="L4">
        <v>0</v>
      </c>
    </row>
    <row r="5" spans="1:12" x14ac:dyDescent="0.25">
      <c r="A5" t="s">
        <v>287</v>
      </c>
      <c r="B5" t="s">
        <v>1</v>
      </c>
      <c r="C5" t="s">
        <v>616</v>
      </c>
      <c r="D5" t="s">
        <v>287</v>
      </c>
      <c r="E5">
        <v>0</v>
      </c>
      <c r="F5" t="str">
        <f>IF(OR(COUNTIF(C:C,C5)&gt;1,COUNTIF(Prensa!C:C,C5)&gt;0,COUNTIF(Carga!C:C,C5)&gt;0,COUNTIF(Escolha41!C:C,C5)&gt;0),"CONFLITO","OK")</f>
        <v>OK</v>
      </c>
      <c r="H5" t="s">
        <v>287</v>
      </c>
      <c r="I5" t="s">
        <v>1</v>
      </c>
      <c r="J5" t="s">
        <v>2</v>
      </c>
      <c r="K5" t="s">
        <v>287</v>
      </c>
      <c r="L5">
        <v>0</v>
      </c>
    </row>
    <row r="6" spans="1:12" x14ac:dyDescent="0.25">
      <c r="A6" t="s">
        <v>288</v>
      </c>
      <c r="B6" t="s">
        <v>1</v>
      </c>
      <c r="C6" t="s">
        <v>617</v>
      </c>
      <c r="D6" t="s">
        <v>288</v>
      </c>
      <c r="E6">
        <v>0</v>
      </c>
      <c r="F6" t="str">
        <f>IF(OR(COUNTIF(C:C,C6)&gt;1,COUNTIF(Prensa!C:C,C6)&gt;0,COUNTIF(Carga!C:C,C6)&gt;0,COUNTIF(Escolha41!C:C,C6)&gt;0),"CONFLITO","OK")</f>
        <v>OK</v>
      </c>
      <c r="H6" t="s">
        <v>288</v>
      </c>
      <c r="I6" t="s">
        <v>1</v>
      </c>
      <c r="J6" t="s">
        <v>289</v>
      </c>
      <c r="K6" t="s">
        <v>288</v>
      </c>
      <c r="L6">
        <v>0</v>
      </c>
    </row>
    <row r="7" spans="1:12" x14ac:dyDescent="0.25">
      <c r="A7" t="s">
        <v>290</v>
      </c>
      <c r="B7" t="s">
        <v>1</v>
      </c>
      <c r="C7" t="s">
        <v>614</v>
      </c>
      <c r="D7" t="s">
        <v>290</v>
      </c>
      <c r="E7">
        <v>0</v>
      </c>
      <c r="F7" t="str">
        <f>IF(OR(COUNTIF(C:C,C7)&gt;1,COUNTIF(Prensa!C:C,C7)&gt;0,COUNTIF(Carga!C:C,C7)&gt;0,COUNTIF(Escolha41!C:C,C7)&gt;0),"CONFLITO","OK")</f>
        <v>OK</v>
      </c>
      <c r="H7" t="s">
        <v>290</v>
      </c>
      <c r="I7" t="s">
        <v>1</v>
      </c>
      <c r="J7" t="s">
        <v>291</v>
      </c>
      <c r="K7" t="s">
        <v>290</v>
      </c>
      <c r="L7">
        <v>0</v>
      </c>
    </row>
    <row r="8" spans="1:12" x14ac:dyDescent="0.25">
      <c r="A8" t="s">
        <v>292</v>
      </c>
      <c r="B8" t="s">
        <v>1</v>
      </c>
      <c r="C8" t="s">
        <v>618</v>
      </c>
      <c r="D8" t="s">
        <v>292</v>
      </c>
      <c r="E8">
        <v>0</v>
      </c>
      <c r="F8" t="str">
        <f>IF(OR(COUNTIF(C:C,C8)&gt;1,COUNTIF(Prensa!C:C,C8)&gt;0,COUNTIF(Carga!C:C,C8)&gt;0,COUNTIF(Escolha41!C:C,C8)&gt;0),"CONFLITO","OK")</f>
        <v>OK</v>
      </c>
      <c r="H8" t="s">
        <v>292</v>
      </c>
      <c r="I8" t="s">
        <v>1</v>
      </c>
      <c r="J8" t="s">
        <v>293</v>
      </c>
      <c r="K8" t="s">
        <v>292</v>
      </c>
      <c r="L8">
        <v>0</v>
      </c>
    </row>
    <row r="9" spans="1:12" x14ac:dyDescent="0.25">
      <c r="A9" t="s">
        <v>294</v>
      </c>
      <c r="B9" t="s">
        <v>1</v>
      </c>
      <c r="C9" t="s">
        <v>619</v>
      </c>
      <c r="D9" t="s">
        <v>294</v>
      </c>
      <c r="E9">
        <v>0</v>
      </c>
      <c r="F9" t="str">
        <f>IF(OR(COUNTIF(C:C,C9)&gt;1,COUNTIF(Prensa!C:C,C9)&gt;0,COUNTIF(Carga!C:C,C9)&gt;0,COUNTIF(Escolha41!C:C,C9)&gt;0),"CONFLITO","OK")</f>
        <v>OK</v>
      </c>
      <c r="H9" t="s">
        <v>294</v>
      </c>
      <c r="I9" t="s">
        <v>1</v>
      </c>
      <c r="J9" t="s">
        <v>295</v>
      </c>
      <c r="K9" t="s">
        <v>294</v>
      </c>
      <c r="L9">
        <v>0</v>
      </c>
    </row>
    <row r="10" spans="1:12" x14ac:dyDescent="0.25">
      <c r="A10" t="s">
        <v>296</v>
      </c>
      <c r="B10" t="s">
        <v>1</v>
      </c>
      <c r="C10" t="s">
        <v>620</v>
      </c>
      <c r="D10" t="s">
        <v>298</v>
      </c>
      <c r="E10">
        <v>0</v>
      </c>
      <c r="F10" t="str">
        <f>IF(OR(COUNTIF(C:C,C10)&gt;1,COUNTIF(Prensa!C:C,C10)&gt;0,COUNTIF(Carga!C:C,C10)&gt;0,COUNTIF(Escolha41!C:C,C10)&gt;0),"CONFLITO","OK")</f>
        <v>OK</v>
      </c>
      <c r="H10" t="s">
        <v>296</v>
      </c>
      <c r="I10" t="s">
        <v>1</v>
      </c>
      <c r="J10" t="s">
        <v>297</v>
      </c>
      <c r="K10" t="s">
        <v>298</v>
      </c>
      <c r="L10">
        <v>0</v>
      </c>
    </row>
    <row r="11" spans="1:12" x14ac:dyDescent="0.25">
      <c r="A11" t="s">
        <v>299</v>
      </c>
      <c r="B11" t="s">
        <v>1</v>
      </c>
      <c r="C11" t="s">
        <v>621</v>
      </c>
      <c r="D11" t="s">
        <v>301</v>
      </c>
      <c r="E11">
        <v>0</v>
      </c>
      <c r="F11" t="str">
        <f>IF(OR(COUNTIF(C:C,C11)&gt;1,COUNTIF(Prensa!C:C,C11)&gt;0,COUNTIF(Carga!C:C,C11)&gt;0,COUNTIF(Escolha41!C:C,C11)&gt;0),"CONFLITO","OK")</f>
        <v>OK</v>
      </c>
      <c r="H11" t="s">
        <v>299</v>
      </c>
      <c r="I11" t="s">
        <v>1</v>
      </c>
      <c r="J11" t="s">
        <v>300</v>
      </c>
      <c r="K11" t="s">
        <v>301</v>
      </c>
      <c r="L11">
        <v>0</v>
      </c>
    </row>
    <row r="12" spans="1:12" x14ac:dyDescent="0.25">
      <c r="A12" t="s">
        <v>302</v>
      </c>
      <c r="B12" t="s">
        <v>1</v>
      </c>
      <c r="C12" t="s">
        <v>622</v>
      </c>
      <c r="D12" t="s">
        <v>304</v>
      </c>
      <c r="E12">
        <v>0</v>
      </c>
      <c r="F12" t="str">
        <f>IF(OR(COUNTIF(C:C,C12)&gt;1,COUNTIF(Prensa!C:C,C12)&gt;0,COUNTIF(Carga!C:C,C12)&gt;0,COUNTIF(Escolha41!C:C,C12)&gt;0),"CONFLITO","OK")</f>
        <v>OK</v>
      </c>
      <c r="H12" t="s">
        <v>302</v>
      </c>
      <c r="I12" t="s">
        <v>1</v>
      </c>
      <c r="J12" t="s">
        <v>303</v>
      </c>
      <c r="K12" t="s">
        <v>304</v>
      </c>
      <c r="L12">
        <v>0</v>
      </c>
    </row>
    <row r="13" spans="1:12" x14ac:dyDescent="0.25">
      <c r="A13" t="s">
        <v>305</v>
      </c>
      <c r="B13" t="s">
        <v>1</v>
      </c>
      <c r="C13" t="s">
        <v>623</v>
      </c>
      <c r="E13">
        <v>0</v>
      </c>
      <c r="F13" t="str">
        <f>IF(OR(COUNTIF(C:C,C13)&gt;1,COUNTIF(Prensa!C:C,C13)&gt;0,COUNTIF(Carga!C:C,C13)&gt;0,COUNTIF(Escolha41!C:C,C13)&gt;0),"CONFLITO","OK")</f>
        <v>OK</v>
      </c>
      <c r="H13" t="s">
        <v>305</v>
      </c>
      <c r="I13" t="s">
        <v>1</v>
      </c>
      <c r="J13" t="s">
        <v>306</v>
      </c>
      <c r="L13">
        <v>0</v>
      </c>
    </row>
    <row r="14" spans="1:12" x14ac:dyDescent="0.25">
      <c r="A14" t="s">
        <v>225</v>
      </c>
      <c r="B14" t="s">
        <v>14</v>
      </c>
      <c r="C14" t="s">
        <v>318</v>
      </c>
      <c r="D14" t="s">
        <v>227</v>
      </c>
      <c r="E14">
        <v>0</v>
      </c>
      <c r="F14" t="str">
        <f>IF(OR(COUNTIF(C:C,C14)&gt;1,COUNTIF(Prensa!C:C,C14)&gt;0,COUNTIF(Carga!C:C,C14)&gt;0,COUNTIF(Escolha41!C:C,C14)&gt;0),"CONFLITO","OK")</f>
        <v>OK</v>
      </c>
      <c r="H14" t="s">
        <v>225</v>
      </c>
      <c r="I14" t="s">
        <v>14</v>
      </c>
      <c r="J14" t="s">
        <v>226</v>
      </c>
      <c r="K14" t="s">
        <v>227</v>
      </c>
      <c r="L14">
        <v>0</v>
      </c>
    </row>
    <row r="15" spans="1:12" x14ac:dyDescent="0.25">
      <c r="A15" t="s">
        <v>228</v>
      </c>
      <c r="B15" t="s">
        <v>14</v>
      </c>
      <c r="C15" t="s">
        <v>319</v>
      </c>
      <c r="D15" t="s">
        <v>229</v>
      </c>
      <c r="E15">
        <v>0</v>
      </c>
      <c r="F15" t="str">
        <f>IF(OR(COUNTIF(C:C,C15)&gt;1,COUNTIF(Prensa!C:C,C15)&gt;0,COUNTIF(Carga!C:C,C15)&gt;0,COUNTIF(Escolha41!C:C,C15)&gt;0),"CONFLITO","OK")</f>
        <v>OK</v>
      </c>
      <c r="H15" t="s">
        <v>228</v>
      </c>
      <c r="I15" t="s">
        <v>14</v>
      </c>
      <c r="J15" t="s">
        <v>47</v>
      </c>
      <c r="K15" t="s">
        <v>229</v>
      </c>
      <c r="L15">
        <v>0</v>
      </c>
    </row>
    <row r="16" spans="1:12" x14ac:dyDescent="0.25">
      <c r="A16" t="s">
        <v>230</v>
      </c>
      <c r="B16" t="s">
        <v>14</v>
      </c>
      <c r="C16" t="s">
        <v>320</v>
      </c>
      <c r="D16" t="s">
        <v>231</v>
      </c>
      <c r="E16">
        <v>0</v>
      </c>
      <c r="F16" t="str">
        <f>IF(OR(COUNTIF(C:C,C16)&gt;1,COUNTIF(Prensa!C:C,C16)&gt;0,COUNTIF(Carga!C:C,C16)&gt;0,COUNTIF(Escolha41!C:C,C16)&gt;0),"CONFLITO","OK")</f>
        <v>OK</v>
      </c>
      <c r="H16" t="s">
        <v>230</v>
      </c>
      <c r="I16" t="s">
        <v>14</v>
      </c>
      <c r="J16" t="s">
        <v>44</v>
      </c>
      <c r="K16" t="s">
        <v>231</v>
      </c>
      <c r="L16">
        <v>0</v>
      </c>
    </row>
    <row r="17" spans="1:12" x14ac:dyDescent="0.25">
      <c r="A17" t="s">
        <v>232</v>
      </c>
      <c r="B17" t="s">
        <v>14</v>
      </c>
      <c r="C17" t="s">
        <v>321</v>
      </c>
      <c r="D17" t="s">
        <v>233</v>
      </c>
      <c r="E17">
        <v>0</v>
      </c>
      <c r="F17" t="str">
        <f>IF(OR(COUNTIF(C:C,C17)&gt;1,COUNTIF(Prensa!C:C,C17)&gt;0,COUNTIF(Carga!C:C,C17)&gt;0,COUNTIF(Escolha41!C:C,C17)&gt;0),"CONFLITO","OK")</f>
        <v>OK</v>
      </c>
      <c r="H17" t="s">
        <v>232</v>
      </c>
      <c r="I17" t="s">
        <v>14</v>
      </c>
      <c r="J17" t="s">
        <v>39</v>
      </c>
      <c r="K17" t="s">
        <v>233</v>
      </c>
      <c r="L17">
        <v>0</v>
      </c>
    </row>
    <row r="18" spans="1:12" x14ac:dyDescent="0.25">
      <c r="A18" t="s">
        <v>234</v>
      </c>
      <c r="B18" t="s">
        <v>14</v>
      </c>
      <c r="C18" t="s">
        <v>322</v>
      </c>
      <c r="D18" t="s">
        <v>235</v>
      </c>
      <c r="E18">
        <v>0</v>
      </c>
      <c r="F18" t="str">
        <f>IF(OR(COUNTIF(C:C,C18)&gt;1,COUNTIF(Prensa!C:C,C18)&gt;0,COUNTIF(Carga!C:C,C18)&gt;0,COUNTIF(Escolha41!C:C,C18)&gt;0),"CONFLITO","OK")</f>
        <v>OK</v>
      </c>
      <c r="H18" t="s">
        <v>234</v>
      </c>
      <c r="I18" t="s">
        <v>14</v>
      </c>
      <c r="J18" t="s">
        <v>50</v>
      </c>
      <c r="K18" t="s">
        <v>235</v>
      </c>
      <c r="L18">
        <v>0</v>
      </c>
    </row>
    <row r="19" spans="1:12" x14ac:dyDescent="0.25">
      <c r="A19" t="s">
        <v>236</v>
      </c>
      <c r="B19" t="s">
        <v>14</v>
      </c>
      <c r="C19" t="s">
        <v>323</v>
      </c>
      <c r="D19" t="s">
        <v>238</v>
      </c>
      <c r="E19">
        <v>0</v>
      </c>
      <c r="F19" t="str">
        <f>IF(OR(COUNTIF(C:C,C19)&gt;1,COUNTIF(Prensa!C:C,C19)&gt;0,COUNTIF(Carga!C:C,C19)&gt;0,COUNTIF(Escolha41!C:C,C19)&gt;0),"CONFLITO","OK")</f>
        <v>OK</v>
      </c>
      <c r="H19" t="s">
        <v>236</v>
      </c>
      <c r="I19" t="s">
        <v>14</v>
      </c>
      <c r="J19" t="s">
        <v>237</v>
      </c>
      <c r="K19" t="s">
        <v>238</v>
      </c>
      <c r="L19">
        <v>0</v>
      </c>
    </row>
    <row r="20" spans="1:12" x14ac:dyDescent="0.25">
      <c r="A20" t="s">
        <v>239</v>
      </c>
      <c r="B20" t="s">
        <v>14</v>
      </c>
      <c r="C20" t="s">
        <v>624</v>
      </c>
      <c r="D20" t="s">
        <v>241</v>
      </c>
      <c r="E20">
        <v>0</v>
      </c>
      <c r="F20" t="str">
        <f>IF(OR(COUNTIF(C:C,C20)&gt;1,COUNTIF(Prensa!C:C,C20)&gt;0,COUNTIF(Carga!C:C,C20)&gt;0,COUNTIF(Escolha41!C:C,C20)&gt;0),"CONFLITO","OK")</f>
        <v>OK</v>
      </c>
      <c r="H20" t="s">
        <v>239</v>
      </c>
      <c r="I20" t="s">
        <v>14</v>
      </c>
      <c r="J20" t="s">
        <v>240</v>
      </c>
      <c r="K20" t="s">
        <v>241</v>
      </c>
      <c r="L20">
        <v>0</v>
      </c>
    </row>
    <row r="21" spans="1:12" x14ac:dyDescent="0.25">
      <c r="A21" t="s">
        <v>242</v>
      </c>
      <c r="B21" t="s">
        <v>14</v>
      </c>
      <c r="C21" t="s">
        <v>625</v>
      </c>
      <c r="D21" t="s">
        <v>244</v>
      </c>
      <c r="E21">
        <v>0</v>
      </c>
      <c r="F21" t="str">
        <f>IF(OR(COUNTIF(C:C,C21)&gt;1,COUNTIF(Prensa!C:C,C21)&gt;0,COUNTIF(Carga!C:C,C21)&gt;0,COUNTIF(Escolha41!C:C,C21)&gt;0),"CONFLITO","OK")</f>
        <v>OK</v>
      </c>
      <c r="H21" t="s">
        <v>242</v>
      </c>
      <c r="I21" t="s">
        <v>14</v>
      </c>
      <c r="J21" t="s">
        <v>243</v>
      </c>
      <c r="K21" t="s">
        <v>244</v>
      </c>
      <c r="L21">
        <v>0</v>
      </c>
    </row>
    <row r="22" spans="1:12" x14ac:dyDescent="0.25">
      <c r="A22" t="s">
        <v>245</v>
      </c>
      <c r="B22" t="s">
        <v>14</v>
      </c>
      <c r="C22" t="s">
        <v>626</v>
      </c>
      <c r="D22" t="s">
        <v>247</v>
      </c>
      <c r="E22">
        <v>0</v>
      </c>
      <c r="F22" t="str">
        <f>IF(OR(COUNTIF(C:C,C22)&gt;1,COUNTIF(Prensa!C:C,C22)&gt;0,COUNTIF(Carga!C:C,C22)&gt;0,COUNTIF(Escolha41!C:C,C22)&gt;0),"CONFLITO","OK")</f>
        <v>OK</v>
      </c>
      <c r="H22" t="s">
        <v>245</v>
      </c>
      <c r="I22" t="s">
        <v>14</v>
      </c>
      <c r="J22" t="s">
        <v>246</v>
      </c>
      <c r="K22" t="s">
        <v>247</v>
      </c>
      <c r="L22">
        <v>0</v>
      </c>
    </row>
    <row r="23" spans="1:12" x14ac:dyDescent="0.25">
      <c r="A23" t="s">
        <v>248</v>
      </c>
      <c r="B23" t="s">
        <v>14</v>
      </c>
      <c r="C23" t="s">
        <v>627</v>
      </c>
      <c r="D23" t="s">
        <v>250</v>
      </c>
      <c r="E23">
        <v>0</v>
      </c>
      <c r="F23" t="str">
        <f>IF(OR(COUNTIF(C:C,C23)&gt;1,COUNTIF(Prensa!C:C,C23)&gt;0,COUNTIF(Carga!C:C,C23)&gt;0,COUNTIF(Escolha41!C:C,C23)&gt;0),"CONFLITO","OK")</f>
        <v>OK</v>
      </c>
      <c r="H23" t="s">
        <v>248</v>
      </c>
      <c r="I23" t="s">
        <v>14</v>
      </c>
      <c r="J23" t="s">
        <v>249</v>
      </c>
      <c r="K23" t="s">
        <v>250</v>
      </c>
      <c r="L23">
        <v>0</v>
      </c>
    </row>
    <row r="24" spans="1:12" x14ac:dyDescent="0.25">
      <c r="A24" t="s">
        <v>251</v>
      </c>
      <c r="B24" t="s">
        <v>14</v>
      </c>
      <c r="C24" t="s">
        <v>628</v>
      </c>
      <c r="D24" t="s">
        <v>253</v>
      </c>
      <c r="E24">
        <v>0</v>
      </c>
      <c r="F24" t="str">
        <f>IF(OR(COUNTIF(C:C,C24)&gt;1,COUNTIF(Prensa!C:C,C24)&gt;0,COUNTIF(Carga!C:C,C24)&gt;0,COUNTIF(Escolha41!C:C,C24)&gt;0),"CONFLITO","OK")</f>
        <v>OK</v>
      </c>
      <c r="H24" t="s">
        <v>251</v>
      </c>
      <c r="I24" t="s">
        <v>14</v>
      </c>
      <c r="J24" t="s">
        <v>252</v>
      </c>
      <c r="K24" t="s">
        <v>253</v>
      </c>
      <c r="L24">
        <v>0</v>
      </c>
    </row>
    <row r="25" spans="1:12" x14ac:dyDescent="0.25">
      <c r="A25" t="s">
        <v>254</v>
      </c>
      <c r="B25" t="s">
        <v>14</v>
      </c>
      <c r="C25" t="s">
        <v>629</v>
      </c>
      <c r="D25" t="s">
        <v>256</v>
      </c>
      <c r="E25">
        <v>0</v>
      </c>
      <c r="F25" t="str">
        <f>IF(OR(COUNTIF(C:C,C25)&gt;1,COUNTIF(Prensa!C:C,C25)&gt;0,COUNTIF(Carga!C:C,C25)&gt;0,COUNTIF(Escolha41!C:C,C25)&gt;0),"CONFLITO","OK")</f>
        <v>OK</v>
      </c>
      <c r="H25" t="s">
        <v>254</v>
      </c>
      <c r="I25" t="s">
        <v>14</v>
      </c>
      <c r="J25" t="s">
        <v>255</v>
      </c>
      <c r="K25" t="s">
        <v>256</v>
      </c>
      <c r="L25">
        <v>0</v>
      </c>
    </row>
    <row r="26" spans="1:12" x14ac:dyDescent="0.25">
      <c r="A26" t="s">
        <v>257</v>
      </c>
      <c r="B26" t="s">
        <v>14</v>
      </c>
      <c r="C26" t="s">
        <v>630</v>
      </c>
      <c r="D26" t="s">
        <v>259</v>
      </c>
      <c r="E26">
        <v>0</v>
      </c>
      <c r="F26" t="str">
        <f>IF(OR(COUNTIF(C:C,C26)&gt;1,COUNTIF(Prensa!C:C,C26)&gt;0,COUNTIF(Carga!C:C,C26)&gt;0,COUNTIF(Escolha41!C:C,C26)&gt;0),"CONFLITO","OK")</f>
        <v>OK</v>
      </c>
      <c r="H26" t="s">
        <v>257</v>
      </c>
      <c r="I26" t="s">
        <v>14</v>
      </c>
      <c r="J26" t="s">
        <v>258</v>
      </c>
      <c r="K26" t="s">
        <v>259</v>
      </c>
      <c r="L26">
        <v>0</v>
      </c>
    </row>
    <row r="27" spans="1:12" x14ac:dyDescent="0.25">
      <c r="A27" t="s">
        <v>260</v>
      </c>
      <c r="B27" t="s">
        <v>14</v>
      </c>
      <c r="C27" t="s">
        <v>631</v>
      </c>
      <c r="D27" t="s">
        <v>262</v>
      </c>
      <c r="E27">
        <v>0</v>
      </c>
      <c r="F27" t="str">
        <f>IF(OR(COUNTIF(C:C,C27)&gt;1,COUNTIF(Prensa!C:C,C27)&gt;0,COUNTIF(Carga!C:C,C27)&gt;0,COUNTIF(Escolha41!C:C,C27)&gt;0),"CONFLITO","OK")</f>
        <v>OK</v>
      </c>
      <c r="H27" t="s">
        <v>260</v>
      </c>
      <c r="I27" t="s">
        <v>14</v>
      </c>
      <c r="J27" t="s">
        <v>261</v>
      </c>
      <c r="K27" t="s">
        <v>262</v>
      </c>
      <c r="L27">
        <v>0</v>
      </c>
    </row>
    <row r="28" spans="1:12" x14ac:dyDescent="0.25">
      <c r="A28" t="s">
        <v>158</v>
      </c>
      <c r="B28" t="s">
        <v>14</v>
      </c>
      <c r="C28" t="s">
        <v>632</v>
      </c>
      <c r="D28" t="s">
        <v>264</v>
      </c>
      <c r="E28">
        <v>0</v>
      </c>
      <c r="F28" t="str">
        <f>IF(OR(COUNTIF(C:C,C28)&gt;1,COUNTIF(Prensa!C:C,C28)&gt;0,COUNTIF(Carga!C:C,C28)&gt;0,COUNTIF(Escolha41!C:C,C28)&gt;0),"CONFLITO","OK")</f>
        <v>OK</v>
      </c>
      <c r="H28" t="s">
        <v>158</v>
      </c>
      <c r="I28" t="s">
        <v>14</v>
      </c>
      <c r="J28" t="s">
        <v>263</v>
      </c>
      <c r="K28" t="s">
        <v>264</v>
      </c>
      <c r="L28">
        <v>0</v>
      </c>
    </row>
    <row r="29" spans="1:12" x14ac:dyDescent="0.25">
      <c r="A29" t="s">
        <v>265</v>
      </c>
      <c r="B29" t="s">
        <v>14</v>
      </c>
      <c r="C29" t="s">
        <v>633</v>
      </c>
      <c r="D29" t="s">
        <v>267</v>
      </c>
      <c r="E29">
        <v>0</v>
      </c>
      <c r="F29" t="str">
        <f>IF(OR(COUNTIF(C:C,C29)&gt;1,COUNTIF(Prensa!C:C,C29)&gt;0,COUNTIF(Carga!C:C,C29)&gt;0,COUNTIF(Escolha41!C:C,C29)&gt;0),"CONFLITO","OK")</f>
        <v>OK</v>
      </c>
      <c r="H29" t="s">
        <v>265</v>
      </c>
      <c r="I29" t="s">
        <v>14</v>
      </c>
      <c r="J29" t="s">
        <v>266</v>
      </c>
      <c r="K29" t="s">
        <v>267</v>
      </c>
      <c r="L29">
        <v>0</v>
      </c>
    </row>
    <row r="30" spans="1:12" x14ac:dyDescent="0.25">
      <c r="A30" t="s">
        <v>268</v>
      </c>
      <c r="B30" t="s">
        <v>14</v>
      </c>
      <c r="C30" t="s">
        <v>634</v>
      </c>
      <c r="D30" t="s">
        <v>270</v>
      </c>
      <c r="E30">
        <v>0</v>
      </c>
      <c r="F30" t="str">
        <f>IF(OR(COUNTIF(C:C,C30)&gt;1,COUNTIF(Prensa!C:C,C30)&gt;0,COUNTIF(Carga!C:C,C30)&gt;0,COUNTIF(Escolha41!C:C,C30)&gt;0),"CONFLITO","OK")</f>
        <v>OK</v>
      </c>
      <c r="H30" t="s">
        <v>268</v>
      </c>
      <c r="I30" t="s">
        <v>14</v>
      </c>
      <c r="J30" t="s">
        <v>269</v>
      </c>
      <c r="K30" t="s">
        <v>270</v>
      </c>
      <c r="L30">
        <v>0</v>
      </c>
    </row>
    <row r="31" spans="1:12" x14ac:dyDescent="0.25">
      <c r="A31" t="s">
        <v>271</v>
      </c>
      <c r="B31" t="s">
        <v>14</v>
      </c>
      <c r="C31" t="s">
        <v>635</v>
      </c>
      <c r="D31" t="s">
        <v>273</v>
      </c>
      <c r="E31">
        <v>0</v>
      </c>
      <c r="F31" t="str">
        <f>IF(OR(COUNTIF(C:C,C31)&gt;1,COUNTIF(Prensa!C:C,C31)&gt;0,COUNTIF(Carga!C:C,C31)&gt;0,COUNTIF(Escolha41!C:C,C31)&gt;0),"CONFLITO","OK")</f>
        <v>OK</v>
      </c>
      <c r="H31" t="s">
        <v>271</v>
      </c>
      <c r="I31" t="s">
        <v>14</v>
      </c>
      <c r="J31" t="s">
        <v>272</v>
      </c>
      <c r="K31" t="s">
        <v>273</v>
      </c>
      <c r="L31">
        <v>0</v>
      </c>
    </row>
    <row r="32" spans="1:12" x14ac:dyDescent="0.25">
      <c r="A32" t="s">
        <v>274</v>
      </c>
      <c r="B32" t="s">
        <v>14</v>
      </c>
      <c r="C32" t="s">
        <v>636</v>
      </c>
      <c r="D32" t="s">
        <v>276</v>
      </c>
      <c r="E32">
        <v>0</v>
      </c>
      <c r="F32" t="str">
        <f>IF(OR(COUNTIF(C:C,C32)&gt;1,COUNTIF(Prensa!C:C,C32)&gt;0,COUNTIF(Carga!C:C,C32)&gt;0,COUNTIF(Escolha41!C:C,C32)&gt;0),"CONFLITO","OK")</f>
        <v>OK</v>
      </c>
      <c r="H32" t="s">
        <v>274</v>
      </c>
      <c r="I32" t="s">
        <v>14</v>
      </c>
      <c r="J32" t="s">
        <v>275</v>
      </c>
      <c r="K32" t="s">
        <v>276</v>
      </c>
      <c r="L32">
        <v>0</v>
      </c>
    </row>
    <row r="33" spans="1:12" x14ac:dyDescent="0.25">
      <c r="A33" t="s">
        <v>277</v>
      </c>
      <c r="B33" t="s">
        <v>14</v>
      </c>
      <c r="C33" t="s">
        <v>637</v>
      </c>
      <c r="D33" t="s">
        <v>279</v>
      </c>
      <c r="E33">
        <v>0</v>
      </c>
      <c r="F33" t="str">
        <f>IF(OR(COUNTIF(C:C,C33)&gt;1,COUNTIF(Prensa!C:C,C33)&gt;0,COUNTIF(Carga!C:C,C33)&gt;0,COUNTIF(Escolha41!C:C,C33)&gt;0),"CONFLITO","OK")</f>
        <v>OK</v>
      </c>
      <c r="H33" t="s">
        <v>277</v>
      </c>
      <c r="I33" t="s">
        <v>14</v>
      </c>
      <c r="J33" t="s">
        <v>278</v>
      </c>
      <c r="K33" t="s">
        <v>279</v>
      </c>
      <c r="L33">
        <v>0</v>
      </c>
    </row>
    <row r="34" spans="1:12" x14ac:dyDescent="0.25">
      <c r="A34" t="s">
        <v>280</v>
      </c>
      <c r="B34" t="s">
        <v>14</v>
      </c>
      <c r="C34" t="s">
        <v>638</v>
      </c>
      <c r="D34" t="s">
        <v>282</v>
      </c>
      <c r="E34">
        <v>0</v>
      </c>
      <c r="F34" t="str">
        <f>IF(OR(COUNTIF(C:C,C34)&gt;1,COUNTIF(Prensa!C:C,C34)&gt;0,COUNTIF(Carga!C:C,C34)&gt;0,COUNTIF(Escolha41!C:C,C34)&gt;0),"CONFLITO","OK")</f>
        <v>OK</v>
      </c>
      <c r="H34" t="s">
        <v>280</v>
      </c>
      <c r="I34" t="s">
        <v>14</v>
      </c>
      <c r="J34" t="s">
        <v>281</v>
      </c>
      <c r="K34" t="s">
        <v>282</v>
      </c>
      <c r="L34">
        <v>0</v>
      </c>
    </row>
    <row r="35" spans="1:12" x14ac:dyDescent="0.25">
      <c r="A35" t="s">
        <v>307</v>
      </c>
      <c r="B35" t="s">
        <v>1</v>
      </c>
      <c r="C35" t="s">
        <v>639</v>
      </c>
      <c r="D35" t="s">
        <v>308</v>
      </c>
      <c r="E35">
        <v>0</v>
      </c>
      <c r="F35" t="str">
        <f>IF(OR(COUNTIF(C:C,C35)&gt;1,COUNTIF(Prensa!C:C,C35)&gt;0,COUNTIF(Carga!C:C,C35)&gt;0,COUNTIF(Escolha41!C:C,C35)&gt;0),"CONFLITO","OK")</f>
        <v>OK</v>
      </c>
      <c r="H35" t="s">
        <v>307</v>
      </c>
      <c r="I35" t="s">
        <v>1</v>
      </c>
      <c r="J35" t="s">
        <v>176</v>
      </c>
      <c r="K35" t="s">
        <v>308</v>
      </c>
      <c r="L35">
        <v>0</v>
      </c>
    </row>
    <row r="36" spans="1:12" x14ac:dyDescent="0.25">
      <c r="A36" t="s">
        <v>283</v>
      </c>
      <c r="B36" t="s">
        <v>1</v>
      </c>
      <c r="C36" t="s">
        <v>640</v>
      </c>
      <c r="D36" t="s">
        <v>284</v>
      </c>
      <c r="E36">
        <v>0</v>
      </c>
      <c r="F36" t="str">
        <f>IF(OR(COUNTIF(C:C,C36)&gt;1,COUNTIF(Prensa!C:C,C36)&gt;0,COUNTIF(Carga!C:C,C36)&gt;0,COUNTIF(Escolha41!C:C,C36)&gt;0),"CONFLITO","OK")</f>
        <v>OK</v>
      </c>
      <c r="H36" t="s">
        <v>283</v>
      </c>
      <c r="I36" t="s">
        <v>1</v>
      </c>
      <c r="J36" t="s">
        <v>179</v>
      </c>
      <c r="K36" t="s">
        <v>284</v>
      </c>
      <c r="L36">
        <v>0</v>
      </c>
    </row>
  </sheetData>
  <conditionalFormatting sqref="C2:C93">
    <cfRule type="expression" dxfId="1" priority="1">
      <formula>$F2="OK"</formula>
    </cfRule>
    <cfRule type="expression" dxfId="0" priority="2">
      <formula>$F2="CONFLITO"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5"/>
  <cols>
    <col min="1" max="1" width="49.5703125" bestFit="1" customWidth="1"/>
    <col min="2" max="2" width="24.5703125" customWidth="1"/>
    <col min="3" max="3" width="6.85546875" bestFit="1" customWidth="1"/>
    <col min="4" max="4" width="64.7109375" bestFit="1" customWidth="1"/>
  </cols>
  <sheetData>
    <row r="1" spans="1:2" x14ac:dyDescent="0.25">
      <c r="A1" t="s">
        <v>417</v>
      </c>
      <c r="B1" t="s">
        <v>418</v>
      </c>
    </row>
    <row r="2" spans="1:2" x14ac:dyDescent="0.25">
      <c r="A2" t="s">
        <v>419</v>
      </c>
      <c r="B2" t="s">
        <v>420</v>
      </c>
    </row>
    <row r="3" spans="1:2" x14ac:dyDescent="0.25">
      <c r="A3" t="s">
        <v>421</v>
      </c>
      <c r="B3" t="s">
        <v>422</v>
      </c>
    </row>
    <row r="4" spans="1:2" x14ac:dyDescent="0.25">
      <c r="A4" t="s">
        <v>423</v>
      </c>
      <c r="B4" t="s">
        <v>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D2DC-BF4B-4783-A6E4-92DB35DC06AC}">
  <dimension ref="A1:L32"/>
  <sheetViews>
    <sheetView tabSelected="1" workbookViewId="0">
      <selection activeCell="H20" sqref="H20"/>
    </sheetView>
  </sheetViews>
  <sheetFormatPr defaultRowHeight="15" x14ac:dyDescent="0.25"/>
  <cols>
    <col min="1" max="1" width="16.42578125" bestFit="1" customWidth="1"/>
    <col min="2" max="2" width="8.5703125" bestFit="1" customWidth="1"/>
    <col min="3" max="3" width="7.42578125" customWidth="1"/>
    <col min="4" max="4" width="20.28515625" bestFit="1" customWidth="1"/>
    <col min="5" max="5" width="2" bestFit="1" customWidth="1"/>
    <col min="6" max="6" width="15" customWidth="1"/>
    <col min="7" max="7" width="13.42578125" bestFit="1" customWidth="1"/>
    <col min="9" max="9" width="13.42578125" bestFit="1" customWidth="1"/>
  </cols>
  <sheetData>
    <row r="1" spans="1:12" x14ac:dyDescent="0.25">
      <c r="B1" t="s">
        <v>649</v>
      </c>
      <c r="D1" t="s">
        <v>662</v>
      </c>
    </row>
    <row r="2" spans="1:12" ht="23.25" customHeight="1" x14ac:dyDescent="0.25">
      <c r="A2" t="s">
        <v>648</v>
      </c>
      <c r="B2" s="2" t="s">
        <v>650</v>
      </c>
      <c r="C2" s="2" t="s">
        <v>584</v>
      </c>
    </row>
    <row r="3" spans="1:12" x14ac:dyDescent="0.25">
      <c r="A3" t="s">
        <v>651</v>
      </c>
      <c r="B3" s="2" t="s">
        <v>650</v>
      </c>
      <c r="C3" s="2" t="s">
        <v>659</v>
      </c>
      <c r="H3" s="3" t="s">
        <v>663</v>
      </c>
      <c r="I3" s="3" t="s">
        <v>664</v>
      </c>
    </row>
    <row r="4" spans="1:12" x14ac:dyDescent="0.25">
      <c r="A4" t="s">
        <v>652</v>
      </c>
      <c r="B4" s="2" t="s">
        <v>650</v>
      </c>
      <c r="C4" s="2" t="s">
        <v>585</v>
      </c>
      <c r="H4" s="4" t="s">
        <v>162</v>
      </c>
      <c r="I4" s="4" t="s">
        <v>665</v>
      </c>
    </row>
    <row r="5" spans="1:12" x14ac:dyDescent="0.25">
      <c r="A5" t="s">
        <v>653</v>
      </c>
      <c r="B5" s="2" t="s">
        <v>650</v>
      </c>
      <c r="C5" s="2" t="s">
        <v>660</v>
      </c>
      <c r="H5" s="4" t="s">
        <v>703</v>
      </c>
      <c r="I5" s="4" t="s">
        <v>666</v>
      </c>
    </row>
    <row r="6" spans="1:12" x14ac:dyDescent="0.25">
      <c r="A6" t="s">
        <v>654</v>
      </c>
      <c r="B6" s="2" t="s">
        <v>650</v>
      </c>
      <c r="C6" s="2" t="s">
        <v>586</v>
      </c>
      <c r="H6" s="4" t="s">
        <v>704</v>
      </c>
      <c r="I6" s="4" t="s">
        <v>667</v>
      </c>
    </row>
    <row r="7" spans="1:12" x14ac:dyDescent="0.25">
      <c r="A7" t="s">
        <v>655</v>
      </c>
      <c r="B7" s="2" t="s">
        <v>650</v>
      </c>
      <c r="C7" s="2" t="s">
        <v>661</v>
      </c>
      <c r="H7" s="4" t="s">
        <v>705</v>
      </c>
      <c r="I7" s="4" t="s">
        <v>668</v>
      </c>
    </row>
    <row r="8" spans="1:12" x14ac:dyDescent="0.25">
      <c r="A8" t="s">
        <v>671</v>
      </c>
      <c r="C8" s="5" t="s">
        <v>672</v>
      </c>
      <c r="H8" s="4" t="s">
        <v>706</v>
      </c>
      <c r="I8" s="4" t="s">
        <v>669</v>
      </c>
    </row>
    <row r="9" spans="1:12" x14ac:dyDescent="0.25">
      <c r="A9" t="s">
        <v>674</v>
      </c>
      <c r="C9" s="5" t="s">
        <v>589</v>
      </c>
      <c r="H9" s="4" t="s">
        <v>707</v>
      </c>
      <c r="I9" s="4" t="s">
        <v>670</v>
      </c>
    </row>
    <row r="10" spans="1:12" x14ac:dyDescent="0.25">
      <c r="B10" s="2"/>
      <c r="C10" s="2"/>
    </row>
    <row r="11" spans="1:12" x14ac:dyDescent="0.25">
      <c r="F11" t="s">
        <v>673</v>
      </c>
      <c r="G11" t="s">
        <v>165</v>
      </c>
      <c r="H11" s="4" t="s">
        <v>581</v>
      </c>
      <c r="I11" s="4" t="s">
        <v>656</v>
      </c>
      <c r="J11" t="s">
        <v>582</v>
      </c>
      <c r="K11" t="s">
        <v>657</v>
      </c>
      <c r="L11" t="s">
        <v>583</v>
      </c>
    </row>
    <row r="12" spans="1:12" x14ac:dyDescent="0.25">
      <c r="B12" s="2"/>
      <c r="C12" s="2"/>
      <c r="F12" t="s">
        <v>674</v>
      </c>
      <c r="G12" t="s">
        <v>589</v>
      </c>
    </row>
    <row r="13" spans="1:12" x14ac:dyDescent="0.25">
      <c r="B13" s="2"/>
      <c r="C13" s="2"/>
      <c r="F13" t="s">
        <v>675</v>
      </c>
      <c r="G13" t="s">
        <v>159</v>
      </c>
      <c r="H13" s="4" t="s">
        <v>165</v>
      </c>
      <c r="I13" s="4" t="s">
        <v>581</v>
      </c>
      <c r="J13" t="s">
        <v>656</v>
      </c>
      <c r="K13" t="s">
        <v>582</v>
      </c>
      <c r="L13" t="s">
        <v>657</v>
      </c>
    </row>
    <row r="15" spans="1:12" x14ac:dyDescent="0.25">
      <c r="B15" s="2"/>
      <c r="C15" s="2"/>
      <c r="F15" t="s">
        <v>676</v>
      </c>
      <c r="G15" t="s">
        <v>673</v>
      </c>
      <c r="H15" t="s">
        <v>674</v>
      </c>
      <c r="I15" t="s">
        <v>677</v>
      </c>
    </row>
    <row r="16" spans="1:12" x14ac:dyDescent="0.25">
      <c r="B16" s="2"/>
      <c r="C16" s="2"/>
      <c r="F16" t="s">
        <v>159</v>
      </c>
      <c r="G16" t="s">
        <v>678</v>
      </c>
      <c r="H16" t="s">
        <v>658</v>
      </c>
      <c r="I16" t="s">
        <v>679</v>
      </c>
    </row>
    <row r="17" spans="1:9" x14ac:dyDescent="0.25">
      <c r="F17" t="s">
        <v>162</v>
      </c>
      <c r="G17" t="s">
        <v>708</v>
      </c>
      <c r="H17" t="s">
        <v>709</v>
      </c>
      <c r="I17" t="s">
        <v>710</v>
      </c>
    </row>
    <row r="18" spans="1:9" x14ac:dyDescent="0.25">
      <c r="B18" s="2"/>
      <c r="C18" s="2"/>
    </row>
    <row r="19" spans="1:9" x14ac:dyDescent="0.25">
      <c r="B19" s="2"/>
      <c r="C19" s="2"/>
    </row>
    <row r="23" spans="1:9" x14ac:dyDescent="0.25">
      <c r="A23" t="s">
        <v>689</v>
      </c>
      <c r="B23" t="s">
        <v>14</v>
      </c>
      <c r="C23" t="s">
        <v>165</v>
      </c>
      <c r="D23" t="s">
        <v>680</v>
      </c>
      <c r="E23">
        <v>0</v>
      </c>
    </row>
    <row r="24" spans="1:9" x14ac:dyDescent="0.25">
      <c r="A24" t="s">
        <v>690</v>
      </c>
      <c r="B24" t="s">
        <v>14</v>
      </c>
      <c r="C24" t="s">
        <v>581</v>
      </c>
      <c r="D24" t="s">
        <v>681</v>
      </c>
      <c r="E24">
        <v>0</v>
      </c>
    </row>
    <row r="25" spans="1:9" x14ac:dyDescent="0.25">
      <c r="A25" t="s">
        <v>691</v>
      </c>
      <c r="B25" t="s">
        <v>14</v>
      </c>
      <c r="C25" t="s">
        <v>656</v>
      </c>
      <c r="D25" t="s">
        <v>682</v>
      </c>
      <c r="E25">
        <v>0</v>
      </c>
    </row>
    <row r="26" spans="1:9" x14ac:dyDescent="0.25">
      <c r="A26" t="s">
        <v>692</v>
      </c>
      <c r="B26" t="s">
        <v>14</v>
      </c>
      <c r="C26" t="s">
        <v>582</v>
      </c>
      <c r="D26" t="s">
        <v>683</v>
      </c>
      <c r="E26">
        <v>0</v>
      </c>
    </row>
    <row r="27" spans="1:9" x14ac:dyDescent="0.25">
      <c r="A27" t="s">
        <v>693</v>
      </c>
      <c r="B27" t="s">
        <v>14</v>
      </c>
      <c r="C27" t="s">
        <v>657</v>
      </c>
      <c r="D27" t="s">
        <v>684</v>
      </c>
      <c r="E27">
        <v>0</v>
      </c>
    </row>
    <row r="28" spans="1:9" x14ac:dyDescent="0.25">
      <c r="A28" t="s">
        <v>695</v>
      </c>
      <c r="B28" t="s">
        <v>14</v>
      </c>
      <c r="C28" t="s">
        <v>583</v>
      </c>
      <c r="D28" t="s">
        <v>685</v>
      </c>
      <c r="E28">
        <v>0</v>
      </c>
    </row>
    <row r="29" spans="1:9" x14ac:dyDescent="0.25">
      <c r="A29" t="s">
        <v>694</v>
      </c>
      <c r="B29" t="s">
        <v>14</v>
      </c>
      <c r="C29" t="s">
        <v>658</v>
      </c>
      <c r="D29" t="s">
        <v>686</v>
      </c>
      <c r="E29">
        <v>0</v>
      </c>
    </row>
    <row r="30" spans="1:9" x14ac:dyDescent="0.25">
      <c r="A30" t="s">
        <v>696</v>
      </c>
      <c r="B30" t="s">
        <v>14</v>
      </c>
      <c r="C30" t="s">
        <v>687</v>
      </c>
      <c r="D30" t="s">
        <v>688</v>
      </c>
      <c r="E30">
        <v>0</v>
      </c>
    </row>
    <row r="31" spans="1:9" x14ac:dyDescent="0.25">
      <c r="A31" t="s">
        <v>699</v>
      </c>
      <c r="B31" t="s">
        <v>14</v>
      </c>
      <c r="C31" t="s">
        <v>697</v>
      </c>
      <c r="D31" t="s">
        <v>698</v>
      </c>
      <c r="E31">
        <v>0</v>
      </c>
    </row>
    <row r="32" spans="1:9" x14ac:dyDescent="0.25">
      <c r="A32" t="s">
        <v>700</v>
      </c>
      <c r="B32" t="s">
        <v>14</v>
      </c>
      <c r="C32" t="s">
        <v>701</v>
      </c>
      <c r="D32" t="s">
        <v>702</v>
      </c>
      <c r="E32">
        <v>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3AFB-72F9-4F23-BFDB-D2A214D3950E}">
  <dimension ref="A1"/>
  <sheetViews>
    <sheetView workbookViewId="0">
      <selection activeCell="J17" sqref="J1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Prensa</vt:lpstr>
      <vt:lpstr>Carga</vt:lpstr>
      <vt:lpstr>Escolha41</vt:lpstr>
      <vt:lpstr>Escolha43</vt:lpstr>
      <vt:lpstr>SharedAddresses</vt:lpstr>
      <vt:lpstr>base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Darlan Souza de Medeiros</cp:lastModifiedBy>
  <dcterms:created xsi:type="dcterms:W3CDTF">2026-03-14T13:16:20Z</dcterms:created>
  <dcterms:modified xsi:type="dcterms:W3CDTF">2026-03-22T13:10:36Z</dcterms:modified>
</cp:coreProperties>
</file>